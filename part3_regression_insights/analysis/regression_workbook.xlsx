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tali Kalburgi\OneDrive\Desktop\Bitsom Notes\Assignments\Final Capstone Project\part3_regression_insights\part3_regression_insights\analysis\"/>
    </mc:Choice>
  </mc:AlternateContent>
  <xr:revisionPtr revIDLastSave="0" documentId="13_ncr:1_{7CA66330-4A63-43A7-8BB7-BA94C384D5A9}" xr6:coauthVersionLast="47" xr6:coauthVersionMax="47" xr10:uidLastSave="{00000000-0000-0000-0000-000000000000}"/>
  <bookViews>
    <workbookView xWindow="-110" yWindow="-110" windowWidth="22620" windowHeight="13500" firstSheet="3" activeTab="3" xr2:uid="{00000000-000D-0000-FFFF-FFFF00000000}"/>
  </bookViews>
  <sheets>
    <sheet name="original_datasheet" sheetId="1" r:id="rId1"/>
    <sheet name="cleaned_datasheet" sheetId="3" r:id="rId2"/>
    <sheet name="dummy_variable_creation_sheet" sheetId="6" r:id="rId3"/>
    <sheet name="simple_regression_outputs" sheetId="8" r:id="rId4"/>
  </sheets>
  <definedNames>
    <definedName name="_xlnm._FilterDatabase" localSheetId="1" hidden="1">cleaned_datasheet!$A$1:$N$321</definedName>
    <definedName name="_xlnm._FilterDatabase" localSheetId="2" hidden="1">dummy_variable_creation_sheet!$A$1:$T$321</definedName>
    <definedName name="_xlchart.v1.0" hidden="1">cleaned_datasheet!$J$2:$J$72</definedName>
    <definedName name="_xlchart.v1.1" hidden="1">cleaned_datasheet!$L$2:$L$34</definedName>
    <definedName name="_xlchart.v1.2" hidden="1">cleaned_datasheet!$L$2:$L$34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2" i="6"/>
  <c r="R3" i="3"/>
  <c r="R4" i="3"/>
  <c r="R5" i="3"/>
  <c r="R6" i="3"/>
  <c r="R7" i="3"/>
  <c r="Q7" i="3"/>
  <c r="Q6" i="3"/>
  <c r="Q5" i="3"/>
  <c r="Q4" i="3"/>
  <c r="Q3" i="3"/>
</calcChain>
</file>

<file path=xl/sharedStrings.xml><?xml version="1.0" encoding="utf-8"?>
<sst xmlns="http://schemas.openxmlformats.org/spreadsheetml/2006/main" count="3060" uniqueCount="148">
  <si>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</si>
  <si>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</si>
  <si>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</si>
  <si>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</si>
  <si>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</si>
  <si>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</si>
  <si>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</si>
  <si>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</si>
  <si>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</si>
  <si>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</si>
  <si>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</si>
  <si>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</si>
  <si>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</si>
  <si>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</si>
  <si>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</si>
  <si>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</si>
  <si>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</si>
  <si>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</si>
  <si>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</si>
  <si>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</si>
  <si>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</si>
  <si>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</si>
  <si>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</si>
  <si>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</si>
  <si>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</si>
  <si>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</si>
  <si>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</si>
  <si>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</si>
  <si>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</si>
  <si>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</si>
  <si>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</si>
  <si>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</si>
  <si>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</si>
  <si>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</si>
  <si>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</si>
  <si>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</si>
  <si>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</si>
  <si>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</si>
  <si>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</si>
  <si>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</si>
  <si>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</si>
  <si>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</si>
  <si>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</si>
  <si>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</si>
  <si>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</si>
  <si>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</si>
  <si>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</si>
  <si>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</si>
  <si>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</si>
  <si>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</si>
  <si>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</si>
  <si>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</si>
  <si>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</si>
  <si>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</si>
  <si>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</si>
  <si>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</si>
  <si>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</si>
  <si>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</si>
  <si>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</si>
  <si>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</si>
  <si>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</si>
  <si>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</si>
  <si>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</si>
  <si>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</si>
  <si>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</si>
  <si>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</si>
  <si>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</si>
  <si>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</si>
  <si>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</si>
  <si>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</si>
  <si>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</si>
  <si>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</si>
  <si>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</si>
  <si>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</si>
  <si>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</si>
  <si>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</si>
  <si>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</si>
  <si>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</si>
  <si>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</si>
  <si>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</si>
  <si>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</si>
  <si>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</si>
  <si>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</si>
  <si>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</si>
  <si>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</si>
  <si>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</si>
  <si>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</si>
  <si>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</si>
  <si>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</si>
  <si>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</si>
  <si>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</si>
  <si>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</si>
  <si>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</si>
  <si>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</si>
  <si>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</si>
  <si>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</si>
  <si>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</si>
  <si>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</si>
  <si>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</si>
  <si>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</si>
  <si>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</si>
  <si>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</si>
  <si>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Average</t>
  </si>
  <si>
    <t>Median</t>
  </si>
  <si>
    <t>STDEV</t>
  </si>
  <si>
    <t>MIN</t>
  </si>
  <si>
    <t>MAX</t>
  </si>
  <si>
    <t>customer rating</t>
  </si>
  <si>
    <t>Missing Value Decision — Mean vs Median Check</t>
  </si>
  <si>
    <t>dummy_region_north</t>
  </si>
  <si>
    <t>dummy_region_south</t>
  </si>
  <si>
    <t>dummy_region_west</t>
  </si>
  <si>
    <t>dummy_store_type_HighStreet</t>
  </si>
  <si>
    <t>dummy_store_type_Residential</t>
  </si>
  <si>
    <t>dummy_store_type_Airport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</si>
  <si>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</si>
  <si>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</si>
  <si>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</si>
  <si>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</si>
  <si>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</si>
  <si>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</si>
  <si>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</si>
  <si>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</si>
  <si>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</si>
  <si>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</si>
  <si>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</si>
  <si>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</si>
  <si>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</si>
  <si>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</si>
  <si>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</si>
  <si>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</si>
  <si>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</si>
  <si>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</si>
  <si>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</si>
  <si>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</si>
  <si>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</si>
  <si>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</si>
  <si>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</si>
  <si>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</si>
  <si>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</si>
  <si>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</si>
  <si>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</si>
  <si>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</si>
  <si>
    <t>Simple Regression: Marketing Spend vs Monthly Sales</t>
  </si>
  <si>
    <t>Predicted monthly_sales</t>
  </si>
  <si>
    <t>Simple Regression: Footfall vs Monthly Sales</t>
  </si>
  <si>
    <t>Simple Regression: Avg Discount vs Monthly Sales</t>
  </si>
  <si>
    <t>Simple Regression: Inventory Availability vs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</si>
</sst>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b/>
      <sz val="14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competitor_distance_km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/>
                <a:cs typeface="Calibri"/>
              </a:rPr>
              <a:t> </a:t>
            </a:r>
          </a:p>
        </cx:rich>
      </cx:tx>
    </cx:title>
    <cx:plotArea>
      <cx:plotAreaRegion>
        <cx:series layoutId="boxWhisker" uniqueId="{00000000-E52A-4942-8412-38D52741EDCA}" formatIdx="0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customer_rating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Calibri"/>
              <a:cs typeface="Calibri"/>
            </a:rPr>
            <a:t>customer_rating</a:t>
          </a:r>
        </a:p>
      </cx:txPr>
    </cx:title>
    <cx:plotArea>
      <cx:plotAreaRegion>
        <cx:series layoutId="boxWhisker" uniqueId="{00000000-ACB1-4DA4-ADF4-7428B52BC1C7}" formatIdx="0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7</xdr:row>
      <xdr:rowOff>174625</xdr:rowOff>
    </xdr:from>
    <xdr:to>
      <xdr:col>19</xdr:col>
      <xdr:colOff>133350</xdr:colOff>
      <xdr:row>23</xdr:row>
      <xdr:rowOff>73025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007BF83-1DB9-DB3F-60DA-2E6E9EF61F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10350" y="14763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6350</xdr:colOff>
      <xdr:row>24</xdr:row>
      <xdr:rowOff>53975</xdr:rowOff>
    </xdr:from>
    <xdr:to>
      <xdr:col>19</xdr:col>
      <xdr:colOff>120650</xdr:colOff>
      <xdr:row>39</xdr:row>
      <xdr:rowOff>130175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5466E93-8E52-2BDF-1DA1-A5082C7645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97650" y="43783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opLeftCell="L1" workbookViewId="0">
      <selection activeCell="O21" sqref="O21"/>
    </sheetView>
  </sheetViews>
  <sheetFormatPr defaultRowHeight="14"/>
  <cols>
    <col min="1" max="14" width="16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B9A0-7A31-4822-ABFA-9A21B9B2888F}">
  <dimension ref="A1:R321"/>
  <sheetViews>
    <sheetView workbookViewId="0">
      <selection activeCell="F13" sqref="F13"/>
    </sheetView>
  </sheetViews>
  <sheetFormatPr defaultRowHeight="14"/>
  <cols>
    <col min="1" max="8" width="16" customWidth="1"/>
    <col min="9" max="9" width="26.5" bestFit="1" customWidth="1"/>
    <col min="10" max="10" width="26" bestFit="1" customWidth="1"/>
    <col min="11" max="14" width="16" customWidth="1"/>
    <col min="16" max="16" width="14.58203125" customWidth="1"/>
    <col min="17" max="17" width="21.1640625" customWidth="1"/>
    <col min="18" max="18" width="14.08203125" customWidth="1"/>
  </cols>
  <sheetData>
    <row r="1" spans="1:18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3" t="s">
        <v>108</v>
      </c>
      <c r="Q1" s="3"/>
      <c r="R1" s="3"/>
    </row>
    <row r="2" spans="1:18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Q2" t="s">
        <v>9</v>
      </c>
      <c r="R2" t="s">
        <v>107</v>
      </c>
    </row>
    <row r="3" spans="1:18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P3" t="s">
        <v>102</v>
      </c>
      <c r="Q3">
        <f>AVERAGE(J$2:J$321)</f>
        <v>4.5366562500000018</v>
      </c>
      <c r="R3">
        <f>AVERAGE(L$2:L$321)</f>
        <v>3.9245625000000004</v>
      </c>
    </row>
    <row r="4" spans="1:18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P4" t="s">
        <v>103</v>
      </c>
      <c r="Q4">
        <f>MEDIAN(J$2:J$321)</f>
        <v>3.3650000000000002</v>
      </c>
      <c r="R4">
        <f>MEDIAN(L$2:L$321)</f>
        <v>3.92</v>
      </c>
    </row>
    <row r="5" spans="1:18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P5" t="s">
        <v>104</v>
      </c>
      <c r="Q5">
        <f>_xlfn.STDEV.S(J$2:J$321)</f>
        <v>4.2484202382725673</v>
      </c>
      <c r="R5">
        <f>_xlfn.STDEV.S(L$2:L$321)</f>
        <v>0.51892141198660158</v>
      </c>
    </row>
    <row r="6" spans="1:18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P6" t="s">
        <v>105</v>
      </c>
      <c r="Q6">
        <f>MIN(J$2:J$321)</f>
        <v>0.2</v>
      </c>
      <c r="R6">
        <f>MIN(L$2:L$321)</f>
        <v>2.8</v>
      </c>
    </row>
    <row r="7" spans="1:18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P7" t="s">
        <v>106</v>
      </c>
      <c r="Q7">
        <f>MAX(J$2:J$321)</f>
        <v>22.02</v>
      </c>
      <c r="R7">
        <f>MAX(L$2:L$321)</f>
        <v>5</v>
      </c>
    </row>
    <row r="8" spans="1:18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8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8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8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8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8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8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8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8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3.3650000000000002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3.3650000000000002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3.3650000000000002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3.3650000000000002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3.3650000000000002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3.3650000000000002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321" xr:uid="{4317B9A0-7A31-4822-ABFA-9A21B9B2888F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9D50-7ED5-4D74-BF1B-C55E7872C13C}">
  <dimension ref="A1:X321"/>
  <sheetViews>
    <sheetView topLeftCell="K291" workbookViewId="0">
      <selection activeCell="O1" sqref="O1"/>
    </sheetView>
  </sheetViews>
  <sheetFormatPr defaultRowHeight="14"/>
  <cols>
    <col min="1" max="3" width="16" customWidth="1"/>
    <col min="4" max="4" width="22.75" customWidth="1"/>
    <col min="5" max="14" width="16" customWidth="1"/>
    <col min="15" max="15" width="26.5" bestFit="1" customWidth="1"/>
    <col min="16" max="16" width="26" bestFit="1" customWidth="1"/>
    <col min="17" max="20" width="16" customWidth="1"/>
    <col min="22" max="22" width="14.58203125" customWidth="1"/>
    <col min="23" max="23" width="21.1640625" customWidth="1"/>
    <col min="24" max="24" width="14.08203125" customWidth="1"/>
  </cols>
  <sheetData>
    <row r="1" spans="1:24" ht="18.649999999999999" customHeight="1">
      <c r="A1" s="1" t="s">
        <v>0</v>
      </c>
      <c r="B1" s="1" t="s">
        <v>1</v>
      </c>
      <c r="C1" s="1" t="s">
        <v>2</v>
      </c>
      <c r="D1" s="1" t="s">
        <v>109</v>
      </c>
      <c r="E1" s="1" t="s">
        <v>110</v>
      </c>
      <c r="F1" s="1" t="s">
        <v>111</v>
      </c>
      <c r="G1" s="1" t="s">
        <v>3</v>
      </c>
      <c r="H1" s="1" t="s">
        <v>112</v>
      </c>
      <c r="I1" s="1" t="s">
        <v>113</v>
      </c>
      <c r="J1" s="1" t="s">
        <v>114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V1" s="3"/>
      <c r="W1" s="3"/>
      <c r="X1" s="3"/>
    </row>
    <row r="2" spans="1:24">
      <c r="A2" t="s">
        <v>14</v>
      </c>
      <c r="B2" s="2">
        <v>45658</v>
      </c>
      <c r="C2" t="s">
        <v>15</v>
      </c>
      <c r="D2">
        <f>IF(C2="North",1,0)</f>
        <v>0</v>
      </c>
      <c r="E2">
        <f>IF(C2="South",1,0)</f>
        <v>0</v>
      </c>
      <c r="F2">
        <f>IF(C2="West",1,0)</f>
        <v>0</v>
      </c>
      <c r="G2" t="s">
        <v>16</v>
      </c>
      <c r="H2">
        <f>IF(G2="High Street",1,0)</f>
        <v>0</v>
      </c>
      <c r="I2">
        <f>IF(G2="Residential",1,0)</f>
        <v>1</v>
      </c>
      <c r="J2">
        <f>IF(G2="Airport",1,0)</f>
        <v>0</v>
      </c>
      <c r="K2">
        <v>70389.11</v>
      </c>
      <c r="L2">
        <v>8302</v>
      </c>
      <c r="M2">
        <v>4.2000000000000003E-2</v>
      </c>
      <c r="N2">
        <v>17</v>
      </c>
      <c r="O2">
        <v>75</v>
      </c>
      <c r="P2">
        <v>5.28</v>
      </c>
      <c r="Q2">
        <v>1</v>
      </c>
      <c r="R2">
        <v>3.1</v>
      </c>
      <c r="S2">
        <v>658832.62</v>
      </c>
      <c r="T2">
        <v>84349.93</v>
      </c>
    </row>
    <row r="3" spans="1:24">
      <c r="A3" t="s">
        <v>14</v>
      </c>
      <c r="B3" s="2">
        <v>45689</v>
      </c>
      <c r="C3" t="s">
        <v>15</v>
      </c>
      <c r="D3">
        <f t="shared" ref="D3:D66" si="0">IF(C3="North",1,0)</f>
        <v>0</v>
      </c>
      <c r="E3">
        <f t="shared" ref="E3:E66" si="1">IF(C3="South",1,0)</f>
        <v>0</v>
      </c>
      <c r="F3">
        <f t="shared" ref="F3:F66" si="2">IF(C3="West",1,0)</f>
        <v>0</v>
      </c>
      <c r="G3" t="s">
        <v>16</v>
      </c>
      <c r="H3">
        <f t="shared" ref="H3:H66" si="3">IF(G3="High Street",1,0)</f>
        <v>0</v>
      </c>
      <c r="I3">
        <f t="shared" ref="I3:I66" si="4">IF(G3="Residential",1,0)</f>
        <v>1</v>
      </c>
      <c r="J3">
        <f t="shared" ref="J3:J66" si="5">IF(G3="Airport",1,0)</f>
        <v>0</v>
      </c>
      <c r="K3">
        <v>43827.89</v>
      </c>
      <c r="L3">
        <v>8487</v>
      </c>
      <c r="M3">
        <v>0.16800000000000001</v>
      </c>
      <c r="N3">
        <v>23</v>
      </c>
      <c r="O3">
        <v>84.4</v>
      </c>
      <c r="P3">
        <v>4.3099999999999996</v>
      </c>
      <c r="Q3">
        <v>0</v>
      </c>
      <c r="R3">
        <v>2.8</v>
      </c>
      <c r="S3">
        <v>634436</v>
      </c>
      <c r="T3">
        <v>106130.54</v>
      </c>
    </row>
    <row r="4" spans="1:24">
      <c r="A4" t="s">
        <v>14</v>
      </c>
      <c r="B4" s="2">
        <v>45717</v>
      </c>
      <c r="C4" t="s">
        <v>15</v>
      </c>
      <c r="D4">
        <f t="shared" si="0"/>
        <v>0</v>
      </c>
      <c r="E4">
        <f t="shared" si="1"/>
        <v>0</v>
      </c>
      <c r="F4">
        <f t="shared" si="2"/>
        <v>0</v>
      </c>
      <c r="G4" t="s">
        <v>16</v>
      </c>
      <c r="H4">
        <f t="shared" si="3"/>
        <v>0</v>
      </c>
      <c r="I4">
        <f t="shared" si="4"/>
        <v>1</v>
      </c>
      <c r="J4">
        <f t="shared" si="5"/>
        <v>0</v>
      </c>
      <c r="K4">
        <v>59921.75</v>
      </c>
      <c r="L4">
        <v>9113</v>
      </c>
      <c r="M4">
        <v>0.13300000000000001</v>
      </c>
      <c r="N4">
        <v>20</v>
      </c>
      <c r="O4">
        <v>88</v>
      </c>
      <c r="P4">
        <v>12</v>
      </c>
      <c r="Q4">
        <v>0</v>
      </c>
      <c r="R4">
        <v>3.2</v>
      </c>
      <c r="S4">
        <v>678722.06</v>
      </c>
      <c r="T4">
        <v>101883.86</v>
      </c>
    </row>
    <row r="5" spans="1:24">
      <c r="A5" t="s">
        <v>14</v>
      </c>
      <c r="B5" s="2">
        <v>45748</v>
      </c>
      <c r="C5" t="s">
        <v>15</v>
      </c>
      <c r="D5">
        <f t="shared" si="0"/>
        <v>0</v>
      </c>
      <c r="E5">
        <f t="shared" si="1"/>
        <v>0</v>
      </c>
      <c r="F5">
        <f t="shared" si="2"/>
        <v>0</v>
      </c>
      <c r="G5" t="s">
        <v>16</v>
      </c>
      <c r="H5">
        <f t="shared" si="3"/>
        <v>0</v>
      </c>
      <c r="I5">
        <f t="shared" si="4"/>
        <v>1</v>
      </c>
      <c r="J5">
        <f t="shared" si="5"/>
        <v>0</v>
      </c>
      <c r="K5">
        <v>56856.63</v>
      </c>
      <c r="L5">
        <v>9431</v>
      </c>
      <c r="M5">
        <v>0.14199999999999999</v>
      </c>
      <c r="N5">
        <v>23</v>
      </c>
      <c r="O5">
        <v>86.9</v>
      </c>
      <c r="P5">
        <v>4.97</v>
      </c>
      <c r="Q5">
        <v>0</v>
      </c>
      <c r="R5">
        <v>3.4</v>
      </c>
      <c r="S5">
        <v>658920.30000000005</v>
      </c>
      <c r="T5">
        <v>97910.37</v>
      </c>
    </row>
    <row r="6" spans="1:24">
      <c r="A6" t="s">
        <v>17</v>
      </c>
      <c r="B6" s="2">
        <v>45658</v>
      </c>
      <c r="C6" t="s">
        <v>15</v>
      </c>
      <c r="D6">
        <f t="shared" si="0"/>
        <v>0</v>
      </c>
      <c r="E6">
        <f t="shared" si="1"/>
        <v>0</v>
      </c>
      <c r="F6">
        <f t="shared" si="2"/>
        <v>0</v>
      </c>
      <c r="G6" t="s">
        <v>18</v>
      </c>
      <c r="H6">
        <f t="shared" si="3"/>
        <v>1</v>
      </c>
      <c r="I6">
        <f t="shared" si="4"/>
        <v>0</v>
      </c>
      <c r="J6">
        <f t="shared" si="5"/>
        <v>0</v>
      </c>
      <c r="K6">
        <v>48412.639999999999</v>
      </c>
      <c r="L6">
        <v>9545</v>
      </c>
      <c r="M6">
        <v>0.23100000000000001</v>
      </c>
      <c r="N6">
        <v>21</v>
      </c>
      <c r="O6">
        <v>97.6</v>
      </c>
      <c r="P6">
        <v>6.94</v>
      </c>
      <c r="Q6">
        <v>1</v>
      </c>
      <c r="R6">
        <v>4.2</v>
      </c>
      <c r="S6">
        <v>741341.44</v>
      </c>
      <c r="T6">
        <v>119208.17</v>
      </c>
    </row>
    <row r="7" spans="1:24">
      <c r="A7" t="s">
        <v>17</v>
      </c>
      <c r="B7" s="2">
        <v>45689</v>
      </c>
      <c r="C7" t="s">
        <v>15</v>
      </c>
      <c r="D7">
        <f t="shared" si="0"/>
        <v>0</v>
      </c>
      <c r="E7">
        <f t="shared" si="1"/>
        <v>0</v>
      </c>
      <c r="F7">
        <f t="shared" si="2"/>
        <v>0</v>
      </c>
      <c r="G7" t="s">
        <v>18</v>
      </c>
      <c r="H7">
        <f t="shared" si="3"/>
        <v>1</v>
      </c>
      <c r="I7">
        <f t="shared" si="4"/>
        <v>0</v>
      </c>
      <c r="J7">
        <f t="shared" si="5"/>
        <v>0</v>
      </c>
      <c r="K7">
        <v>64811.21</v>
      </c>
      <c r="L7">
        <v>9792</v>
      </c>
      <c r="M7">
        <v>0.112</v>
      </c>
      <c r="N7">
        <v>20</v>
      </c>
      <c r="O7">
        <v>84.2</v>
      </c>
      <c r="P7">
        <v>2.88</v>
      </c>
      <c r="Q7">
        <v>0</v>
      </c>
      <c r="R7">
        <v>4.2</v>
      </c>
      <c r="S7">
        <v>761835.34</v>
      </c>
      <c r="T7">
        <v>149602.23000000001</v>
      </c>
    </row>
    <row r="8" spans="1:24">
      <c r="A8" t="s">
        <v>17</v>
      </c>
      <c r="B8" s="2">
        <v>45717</v>
      </c>
      <c r="C8" t="s">
        <v>15</v>
      </c>
      <c r="D8">
        <f t="shared" si="0"/>
        <v>0</v>
      </c>
      <c r="E8">
        <f t="shared" si="1"/>
        <v>0</v>
      </c>
      <c r="F8">
        <f t="shared" si="2"/>
        <v>0</v>
      </c>
      <c r="G8" t="s">
        <v>18</v>
      </c>
      <c r="H8">
        <f t="shared" si="3"/>
        <v>1</v>
      </c>
      <c r="I8">
        <f t="shared" si="4"/>
        <v>0</v>
      </c>
      <c r="J8">
        <f t="shared" si="5"/>
        <v>0</v>
      </c>
      <c r="K8">
        <v>46213.45</v>
      </c>
      <c r="L8">
        <v>10616</v>
      </c>
      <c r="M8">
        <v>0.122</v>
      </c>
      <c r="N8">
        <v>22</v>
      </c>
      <c r="O8">
        <v>85.2</v>
      </c>
      <c r="P8">
        <v>0.2</v>
      </c>
      <c r="Q8">
        <v>1</v>
      </c>
      <c r="R8">
        <v>4.0999999999999996</v>
      </c>
      <c r="S8">
        <v>806615.54</v>
      </c>
      <c r="T8">
        <v>131364.62</v>
      </c>
    </row>
    <row r="9" spans="1:24">
      <c r="A9" t="s">
        <v>17</v>
      </c>
      <c r="B9" s="2">
        <v>45748</v>
      </c>
      <c r="C9" t="s">
        <v>15</v>
      </c>
      <c r="D9">
        <f t="shared" si="0"/>
        <v>0</v>
      </c>
      <c r="E9">
        <f t="shared" si="1"/>
        <v>0</v>
      </c>
      <c r="F9">
        <f t="shared" si="2"/>
        <v>0</v>
      </c>
      <c r="G9" t="s">
        <v>18</v>
      </c>
      <c r="H9">
        <f t="shared" si="3"/>
        <v>1</v>
      </c>
      <c r="I9">
        <f t="shared" si="4"/>
        <v>0</v>
      </c>
      <c r="J9">
        <f t="shared" si="5"/>
        <v>0</v>
      </c>
      <c r="K9">
        <v>68148.52</v>
      </c>
      <c r="L9">
        <v>8567</v>
      </c>
      <c r="M9">
        <v>0.127</v>
      </c>
      <c r="N9">
        <v>23</v>
      </c>
      <c r="O9">
        <v>95.6</v>
      </c>
      <c r="P9">
        <v>0.8</v>
      </c>
      <c r="Q9">
        <v>0</v>
      </c>
      <c r="R9">
        <v>3.9</v>
      </c>
      <c r="S9">
        <v>850164.26</v>
      </c>
      <c r="T9">
        <v>149262.75</v>
      </c>
    </row>
    <row r="10" spans="1:24">
      <c r="A10" t="s">
        <v>19</v>
      </c>
      <c r="B10" s="2">
        <v>45658</v>
      </c>
      <c r="C10" t="s">
        <v>20</v>
      </c>
      <c r="D10">
        <f t="shared" si="0"/>
        <v>1</v>
      </c>
      <c r="E10">
        <f t="shared" si="1"/>
        <v>0</v>
      </c>
      <c r="F10">
        <f t="shared" si="2"/>
        <v>0</v>
      </c>
      <c r="G10" t="s">
        <v>21</v>
      </c>
      <c r="H10">
        <f t="shared" si="3"/>
        <v>0</v>
      </c>
      <c r="I10">
        <f t="shared" si="4"/>
        <v>0</v>
      </c>
      <c r="J10">
        <f t="shared" si="5"/>
        <v>1</v>
      </c>
      <c r="K10">
        <v>71838.86</v>
      </c>
      <c r="L10">
        <v>10979</v>
      </c>
      <c r="M10">
        <v>0.215</v>
      </c>
      <c r="N10">
        <v>26</v>
      </c>
      <c r="O10">
        <v>88.6</v>
      </c>
      <c r="P10">
        <v>7.7</v>
      </c>
      <c r="Q10">
        <v>1</v>
      </c>
      <c r="R10">
        <v>3.8</v>
      </c>
      <c r="S10">
        <v>930581.7</v>
      </c>
      <c r="T10">
        <v>136207.98000000001</v>
      </c>
    </row>
    <row r="11" spans="1:24">
      <c r="A11" t="s">
        <v>19</v>
      </c>
      <c r="B11" s="2">
        <v>45689</v>
      </c>
      <c r="C11" t="s">
        <v>20</v>
      </c>
      <c r="D11">
        <f t="shared" si="0"/>
        <v>1</v>
      </c>
      <c r="E11">
        <f t="shared" si="1"/>
        <v>0</v>
      </c>
      <c r="F11">
        <f t="shared" si="2"/>
        <v>0</v>
      </c>
      <c r="G11" t="s">
        <v>21</v>
      </c>
      <c r="H11">
        <f t="shared" si="3"/>
        <v>0</v>
      </c>
      <c r="I11">
        <f t="shared" si="4"/>
        <v>0</v>
      </c>
      <c r="J11">
        <f t="shared" si="5"/>
        <v>1</v>
      </c>
      <c r="K11">
        <v>68133.440000000002</v>
      </c>
      <c r="L11">
        <v>9459</v>
      </c>
      <c r="M11">
        <v>0.22</v>
      </c>
      <c r="N11">
        <v>21</v>
      </c>
      <c r="O11">
        <v>85</v>
      </c>
      <c r="P11">
        <v>1.91</v>
      </c>
      <c r="Q11">
        <v>0</v>
      </c>
      <c r="R11">
        <v>4.2</v>
      </c>
      <c r="S11">
        <v>779010.94</v>
      </c>
      <c r="T11">
        <v>106328.09</v>
      </c>
    </row>
    <row r="12" spans="1:24">
      <c r="A12" t="s">
        <v>19</v>
      </c>
      <c r="B12" s="2">
        <v>45717</v>
      </c>
      <c r="C12" t="s">
        <v>20</v>
      </c>
      <c r="D12">
        <f t="shared" si="0"/>
        <v>1</v>
      </c>
      <c r="E12">
        <f t="shared" si="1"/>
        <v>0</v>
      </c>
      <c r="F12">
        <f t="shared" si="2"/>
        <v>0</v>
      </c>
      <c r="G12" t="s">
        <v>21</v>
      </c>
      <c r="H12">
        <f t="shared" si="3"/>
        <v>0</v>
      </c>
      <c r="I12">
        <f t="shared" si="4"/>
        <v>0</v>
      </c>
      <c r="J12">
        <f t="shared" si="5"/>
        <v>1</v>
      </c>
      <c r="K12">
        <v>34285.21</v>
      </c>
      <c r="L12">
        <v>9172</v>
      </c>
      <c r="M12">
        <v>0.21299999999999999</v>
      </c>
      <c r="N12">
        <v>22</v>
      </c>
      <c r="O12">
        <v>88.3</v>
      </c>
      <c r="P12">
        <v>10.46</v>
      </c>
      <c r="Q12">
        <v>1</v>
      </c>
      <c r="R12">
        <v>3.8</v>
      </c>
      <c r="S12">
        <v>723060.76</v>
      </c>
      <c r="T12">
        <v>123131.24</v>
      </c>
    </row>
    <row r="13" spans="1:24">
      <c r="A13" t="s">
        <v>19</v>
      </c>
      <c r="B13" s="2">
        <v>45748</v>
      </c>
      <c r="C13" t="s">
        <v>20</v>
      </c>
      <c r="D13">
        <f t="shared" si="0"/>
        <v>1</v>
      </c>
      <c r="E13">
        <f t="shared" si="1"/>
        <v>0</v>
      </c>
      <c r="F13">
        <f t="shared" si="2"/>
        <v>0</v>
      </c>
      <c r="G13" t="s">
        <v>21</v>
      </c>
      <c r="H13">
        <f t="shared" si="3"/>
        <v>0</v>
      </c>
      <c r="I13">
        <f t="shared" si="4"/>
        <v>0</v>
      </c>
      <c r="J13">
        <f t="shared" si="5"/>
        <v>1</v>
      </c>
      <c r="K13">
        <v>67979.88</v>
      </c>
      <c r="L13">
        <v>11230</v>
      </c>
      <c r="M13">
        <v>2E-3</v>
      </c>
      <c r="N13">
        <v>28</v>
      </c>
      <c r="O13">
        <v>85.3</v>
      </c>
      <c r="P13">
        <v>7.16</v>
      </c>
      <c r="Q13">
        <v>0</v>
      </c>
      <c r="R13">
        <v>3.8</v>
      </c>
      <c r="S13">
        <v>910791.94</v>
      </c>
      <c r="T13">
        <v>158891.28</v>
      </c>
    </row>
    <row r="14" spans="1:24">
      <c r="A14" t="s">
        <v>22</v>
      </c>
      <c r="B14" s="2">
        <v>45658</v>
      </c>
      <c r="C14" t="s">
        <v>15</v>
      </c>
      <c r="D14">
        <f t="shared" si="0"/>
        <v>0</v>
      </c>
      <c r="E14">
        <f t="shared" si="1"/>
        <v>0</v>
      </c>
      <c r="F14">
        <f t="shared" si="2"/>
        <v>0</v>
      </c>
      <c r="G14" t="s">
        <v>16</v>
      </c>
      <c r="H14">
        <f t="shared" si="3"/>
        <v>0</v>
      </c>
      <c r="I14">
        <f t="shared" si="4"/>
        <v>1</v>
      </c>
      <c r="J14">
        <f t="shared" si="5"/>
        <v>0</v>
      </c>
      <c r="K14">
        <v>71828.259999999995</v>
      </c>
      <c r="L14">
        <v>12775</v>
      </c>
      <c r="M14">
        <v>0.11600000000000001</v>
      </c>
      <c r="N14">
        <v>30</v>
      </c>
      <c r="O14">
        <v>81.7</v>
      </c>
      <c r="P14">
        <v>4.24</v>
      </c>
      <c r="Q14">
        <v>1</v>
      </c>
      <c r="R14">
        <v>4.2</v>
      </c>
      <c r="S14">
        <v>922168.6</v>
      </c>
      <c r="T14">
        <v>107494.53</v>
      </c>
    </row>
    <row r="15" spans="1:24">
      <c r="A15" t="s">
        <v>22</v>
      </c>
      <c r="B15" s="2">
        <v>45689</v>
      </c>
      <c r="C15" t="s">
        <v>15</v>
      </c>
      <c r="D15">
        <f t="shared" si="0"/>
        <v>0</v>
      </c>
      <c r="E15">
        <f t="shared" si="1"/>
        <v>0</v>
      </c>
      <c r="F15">
        <f t="shared" si="2"/>
        <v>0</v>
      </c>
      <c r="G15" t="s">
        <v>16</v>
      </c>
      <c r="H15">
        <f t="shared" si="3"/>
        <v>0</v>
      </c>
      <c r="I15">
        <f t="shared" si="4"/>
        <v>1</v>
      </c>
      <c r="J15">
        <f t="shared" si="5"/>
        <v>0</v>
      </c>
      <c r="K15">
        <v>55716.82</v>
      </c>
      <c r="L15">
        <v>10054</v>
      </c>
      <c r="M15">
        <v>0.14599999999999999</v>
      </c>
      <c r="N15">
        <v>24</v>
      </c>
      <c r="O15">
        <v>84.9</v>
      </c>
      <c r="P15">
        <v>1.06</v>
      </c>
      <c r="Q15">
        <v>0</v>
      </c>
      <c r="R15">
        <v>4.3</v>
      </c>
      <c r="S15">
        <v>726606.28</v>
      </c>
      <c r="T15">
        <v>122729.29</v>
      </c>
    </row>
    <row r="16" spans="1:24">
      <c r="A16" t="s">
        <v>22</v>
      </c>
      <c r="B16" s="2">
        <v>45717</v>
      </c>
      <c r="C16" t="s">
        <v>15</v>
      </c>
      <c r="D16">
        <f t="shared" si="0"/>
        <v>0</v>
      </c>
      <c r="E16">
        <f t="shared" si="1"/>
        <v>0</v>
      </c>
      <c r="F16">
        <f t="shared" si="2"/>
        <v>0</v>
      </c>
      <c r="G16" t="s">
        <v>16</v>
      </c>
      <c r="H16">
        <f t="shared" si="3"/>
        <v>0</v>
      </c>
      <c r="I16">
        <f t="shared" si="4"/>
        <v>1</v>
      </c>
      <c r="J16">
        <f t="shared" si="5"/>
        <v>0</v>
      </c>
      <c r="K16">
        <v>59909.51</v>
      </c>
      <c r="L16">
        <v>8895</v>
      </c>
      <c r="M16">
        <v>0.22800000000000001</v>
      </c>
      <c r="N16">
        <v>23</v>
      </c>
      <c r="O16">
        <v>88.8</v>
      </c>
      <c r="P16">
        <v>0.27</v>
      </c>
      <c r="Q16">
        <v>0</v>
      </c>
      <c r="R16">
        <v>4.3</v>
      </c>
      <c r="S16">
        <v>746501.09</v>
      </c>
      <c r="T16">
        <v>136816.72</v>
      </c>
    </row>
    <row r="17" spans="1:20">
      <c r="A17" t="s">
        <v>22</v>
      </c>
      <c r="B17" s="2">
        <v>45748</v>
      </c>
      <c r="C17" t="s">
        <v>15</v>
      </c>
      <c r="D17">
        <f t="shared" si="0"/>
        <v>0</v>
      </c>
      <c r="E17">
        <f t="shared" si="1"/>
        <v>0</v>
      </c>
      <c r="F17">
        <f t="shared" si="2"/>
        <v>0</v>
      </c>
      <c r="G17" t="s">
        <v>16</v>
      </c>
      <c r="H17">
        <f t="shared" si="3"/>
        <v>0</v>
      </c>
      <c r="I17">
        <f t="shared" si="4"/>
        <v>1</v>
      </c>
      <c r="J17">
        <f t="shared" si="5"/>
        <v>0</v>
      </c>
      <c r="K17">
        <v>75305.710000000006</v>
      </c>
      <c r="L17">
        <v>10940</v>
      </c>
      <c r="M17">
        <v>6.0000000000000001E-3</v>
      </c>
      <c r="N17">
        <v>26</v>
      </c>
      <c r="O17">
        <v>76.5</v>
      </c>
      <c r="P17">
        <v>1.32</v>
      </c>
      <c r="Q17">
        <v>0</v>
      </c>
      <c r="R17">
        <v>4.5</v>
      </c>
      <c r="S17">
        <v>834017.02</v>
      </c>
      <c r="T17">
        <v>114745.03</v>
      </c>
    </row>
    <row r="18" spans="1:20">
      <c r="A18" t="s">
        <v>23</v>
      </c>
      <c r="B18" s="2">
        <v>45658</v>
      </c>
      <c r="C18" t="s">
        <v>24</v>
      </c>
      <c r="D18">
        <f t="shared" si="0"/>
        <v>0</v>
      </c>
      <c r="E18">
        <f t="shared" si="1"/>
        <v>1</v>
      </c>
      <c r="F18">
        <f t="shared" si="2"/>
        <v>0</v>
      </c>
      <c r="G18" t="s">
        <v>16</v>
      </c>
      <c r="H18">
        <f t="shared" si="3"/>
        <v>0</v>
      </c>
      <c r="I18">
        <f t="shared" si="4"/>
        <v>1</v>
      </c>
      <c r="J18">
        <f t="shared" si="5"/>
        <v>0</v>
      </c>
      <c r="K18">
        <v>48804.22</v>
      </c>
      <c r="L18">
        <v>7057</v>
      </c>
      <c r="M18">
        <v>5.0000000000000001E-3</v>
      </c>
      <c r="N18">
        <v>15</v>
      </c>
      <c r="O18">
        <v>87.7</v>
      </c>
      <c r="P18">
        <v>1.22</v>
      </c>
      <c r="Q18">
        <v>0</v>
      </c>
      <c r="R18">
        <v>3.7</v>
      </c>
      <c r="S18">
        <v>666152.52</v>
      </c>
      <c r="T18">
        <v>107490.58</v>
      </c>
    </row>
    <row r="19" spans="1:20">
      <c r="A19" t="s">
        <v>23</v>
      </c>
      <c r="B19" s="2">
        <v>45689</v>
      </c>
      <c r="C19" t="s">
        <v>24</v>
      </c>
      <c r="D19">
        <f t="shared" si="0"/>
        <v>0</v>
      </c>
      <c r="E19">
        <f t="shared" si="1"/>
        <v>1</v>
      </c>
      <c r="F19">
        <f t="shared" si="2"/>
        <v>0</v>
      </c>
      <c r="G19" t="s">
        <v>16</v>
      </c>
      <c r="H19">
        <f t="shared" si="3"/>
        <v>0</v>
      </c>
      <c r="I19">
        <f t="shared" si="4"/>
        <v>1</v>
      </c>
      <c r="J19">
        <f t="shared" si="5"/>
        <v>0</v>
      </c>
      <c r="K19">
        <v>59117.9</v>
      </c>
      <c r="L19">
        <v>4263</v>
      </c>
      <c r="M19">
        <v>0.11899999999999999</v>
      </c>
      <c r="N19">
        <v>9</v>
      </c>
      <c r="O19">
        <v>87.6</v>
      </c>
      <c r="P19">
        <v>4.01</v>
      </c>
      <c r="Q19">
        <v>0</v>
      </c>
      <c r="R19">
        <v>3.6</v>
      </c>
      <c r="S19">
        <v>573155.18999999994</v>
      </c>
      <c r="T19">
        <v>83680.75</v>
      </c>
    </row>
    <row r="20" spans="1:20">
      <c r="A20" t="s">
        <v>23</v>
      </c>
      <c r="B20" s="2">
        <v>45717</v>
      </c>
      <c r="C20" t="s">
        <v>24</v>
      </c>
      <c r="D20">
        <f t="shared" si="0"/>
        <v>0</v>
      </c>
      <c r="E20">
        <f t="shared" si="1"/>
        <v>1</v>
      </c>
      <c r="F20">
        <f t="shared" si="2"/>
        <v>0</v>
      </c>
      <c r="G20" t="s">
        <v>16</v>
      </c>
      <c r="H20">
        <f t="shared" si="3"/>
        <v>0</v>
      </c>
      <c r="I20">
        <f t="shared" si="4"/>
        <v>1</v>
      </c>
      <c r="J20">
        <f t="shared" si="5"/>
        <v>0</v>
      </c>
      <c r="K20">
        <v>78831.12</v>
      </c>
      <c r="L20">
        <v>5538</v>
      </c>
      <c r="M20">
        <v>0</v>
      </c>
      <c r="N20">
        <v>15</v>
      </c>
      <c r="O20">
        <v>94.1</v>
      </c>
      <c r="P20">
        <v>0.2</v>
      </c>
      <c r="Q20">
        <v>0</v>
      </c>
      <c r="R20">
        <v>3.9</v>
      </c>
      <c r="S20">
        <v>666573.19999999995</v>
      </c>
      <c r="T20">
        <v>140641.01999999999</v>
      </c>
    </row>
    <row r="21" spans="1:20">
      <c r="A21" t="s">
        <v>23</v>
      </c>
      <c r="B21" s="2">
        <v>45748</v>
      </c>
      <c r="C21" t="s">
        <v>24</v>
      </c>
      <c r="D21">
        <f t="shared" si="0"/>
        <v>0</v>
      </c>
      <c r="E21">
        <f t="shared" si="1"/>
        <v>1</v>
      </c>
      <c r="F21">
        <f t="shared" si="2"/>
        <v>0</v>
      </c>
      <c r="G21" t="s">
        <v>16</v>
      </c>
      <c r="H21">
        <f t="shared" si="3"/>
        <v>0</v>
      </c>
      <c r="I21">
        <f t="shared" si="4"/>
        <v>1</v>
      </c>
      <c r="J21">
        <f t="shared" si="5"/>
        <v>0</v>
      </c>
      <c r="K21">
        <v>41441.93</v>
      </c>
      <c r="L21">
        <v>4865</v>
      </c>
      <c r="M21">
        <v>0.158</v>
      </c>
      <c r="N21">
        <v>16</v>
      </c>
      <c r="O21">
        <v>88.3</v>
      </c>
      <c r="P21">
        <v>0.5</v>
      </c>
      <c r="Q21">
        <v>0</v>
      </c>
      <c r="R21">
        <v>4</v>
      </c>
      <c r="S21">
        <v>591619.94999999995</v>
      </c>
      <c r="T21">
        <v>99521.35</v>
      </c>
    </row>
    <row r="22" spans="1:20">
      <c r="A22" t="s">
        <v>25</v>
      </c>
      <c r="B22" s="2">
        <v>45658</v>
      </c>
      <c r="C22" t="s">
        <v>20</v>
      </c>
      <c r="D22">
        <f t="shared" si="0"/>
        <v>1</v>
      </c>
      <c r="E22">
        <f t="shared" si="1"/>
        <v>0</v>
      </c>
      <c r="F22">
        <f t="shared" si="2"/>
        <v>0</v>
      </c>
      <c r="G22" t="s">
        <v>16</v>
      </c>
      <c r="H22">
        <f t="shared" si="3"/>
        <v>0</v>
      </c>
      <c r="I22">
        <f t="shared" si="4"/>
        <v>1</v>
      </c>
      <c r="J22">
        <f t="shared" si="5"/>
        <v>0</v>
      </c>
      <c r="K22">
        <v>30356.28</v>
      </c>
      <c r="L22">
        <v>2822</v>
      </c>
      <c r="M22">
        <v>0.23100000000000001</v>
      </c>
      <c r="N22">
        <v>9</v>
      </c>
      <c r="O22">
        <v>84.8</v>
      </c>
      <c r="P22">
        <v>6.95</v>
      </c>
      <c r="Q22">
        <v>0</v>
      </c>
      <c r="R22">
        <v>5</v>
      </c>
      <c r="S22">
        <v>415721.82</v>
      </c>
      <c r="T22">
        <v>61179.15</v>
      </c>
    </row>
    <row r="23" spans="1:20">
      <c r="A23" t="s">
        <v>25</v>
      </c>
      <c r="B23" s="2">
        <v>45689</v>
      </c>
      <c r="C23" t="s">
        <v>20</v>
      </c>
      <c r="D23">
        <f t="shared" si="0"/>
        <v>1</v>
      </c>
      <c r="E23">
        <f t="shared" si="1"/>
        <v>0</v>
      </c>
      <c r="F23">
        <f t="shared" si="2"/>
        <v>0</v>
      </c>
      <c r="G23" t="s">
        <v>16</v>
      </c>
      <c r="H23">
        <f t="shared" si="3"/>
        <v>0</v>
      </c>
      <c r="I23">
        <f t="shared" si="4"/>
        <v>1</v>
      </c>
      <c r="J23">
        <f t="shared" si="5"/>
        <v>0</v>
      </c>
      <c r="K23">
        <v>33518.879999999997</v>
      </c>
      <c r="L23">
        <v>2121</v>
      </c>
      <c r="M23">
        <v>0.17599999999999999</v>
      </c>
      <c r="N23">
        <v>8</v>
      </c>
      <c r="O23">
        <v>88.5</v>
      </c>
      <c r="P23">
        <v>0.2</v>
      </c>
      <c r="Q23">
        <v>0</v>
      </c>
      <c r="R23">
        <v>5</v>
      </c>
      <c r="S23">
        <v>491905.13</v>
      </c>
      <c r="T23">
        <v>79212.259999999995</v>
      </c>
    </row>
    <row r="24" spans="1:20">
      <c r="A24" t="s">
        <v>25</v>
      </c>
      <c r="B24" s="2">
        <v>45717</v>
      </c>
      <c r="C24" t="s">
        <v>20</v>
      </c>
      <c r="D24">
        <f t="shared" si="0"/>
        <v>1</v>
      </c>
      <c r="E24">
        <f t="shared" si="1"/>
        <v>0</v>
      </c>
      <c r="F24">
        <f t="shared" si="2"/>
        <v>0</v>
      </c>
      <c r="G24" t="s">
        <v>16</v>
      </c>
      <c r="H24">
        <f t="shared" si="3"/>
        <v>0</v>
      </c>
      <c r="I24">
        <f t="shared" si="4"/>
        <v>1</v>
      </c>
      <c r="J24">
        <f t="shared" si="5"/>
        <v>0</v>
      </c>
      <c r="K24">
        <v>42267.37</v>
      </c>
      <c r="L24">
        <v>3364</v>
      </c>
      <c r="M24">
        <v>0.16</v>
      </c>
      <c r="N24">
        <v>13</v>
      </c>
      <c r="O24">
        <v>82</v>
      </c>
      <c r="P24">
        <v>1.61</v>
      </c>
      <c r="Q24">
        <v>1</v>
      </c>
      <c r="R24">
        <v>4.5999999999999996</v>
      </c>
      <c r="S24">
        <v>555929.4</v>
      </c>
      <c r="T24">
        <v>115201.76</v>
      </c>
    </row>
    <row r="25" spans="1:20">
      <c r="A25" t="s">
        <v>25</v>
      </c>
      <c r="B25" s="2">
        <v>45748</v>
      </c>
      <c r="C25" t="s">
        <v>20</v>
      </c>
      <c r="D25">
        <f t="shared" si="0"/>
        <v>1</v>
      </c>
      <c r="E25">
        <f t="shared" si="1"/>
        <v>0</v>
      </c>
      <c r="F25">
        <f t="shared" si="2"/>
        <v>0</v>
      </c>
      <c r="G25" t="s">
        <v>16</v>
      </c>
      <c r="H25">
        <f t="shared" si="3"/>
        <v>0</v>
      </c>
      <c r="I25">
        <f t="shared" si="4"/>
        <v>1</v>
      </c>
      <c r="J25">
        <f t="shared" si="5"/>
        <v>0</v>
      </c>
      <c r="K25">
        <v>62060.43</v>
      </c>
      <c r="L25">
        <v>2613</v>
      </c>
      <c r="M25">
        <v>0.216</v>
      </c>
      <c r="N25">
        <v>12</v>
      </c>
      <c r="O25">
        <v>92.1</v>
      </c>
      <c r="P25">
        <v>1.55</v>
      </c>
      <c r="Q25">
        <v>0</v>
      </c>
      <c r="R25">
        <v>4.7</v>
      </c>
      <c r="S25">
        <v>565810.99</v>
      </c>
      <c r="T25">
        <v>77825.460000000006</v>
      </c>
    </row>
    <row r="26" spans="1:20">
      <c r="A26" t="s">
        <v>26</v>
      </c>
      <c r="B26" s="2">
        <v>45658</v>
      </c>
      <c r="C26" t="s">
        <v>27</v>
      </c>
      <c r="D26">
        <f t="shared" si="0"/>
        <v>0</v>
      </c>
      <c r="E26">
        <f t="shared" si="1"/>
        <v>0</v>
      </c>
      <c r="F26">
        <f t="shared" si="2"/>
        <v>1</v>
      </c>
      <c r="G26" t="s">
        <v>28</v>
      </c>
      <c r="H26">
        <f t="shared" si="3"/>
        <v>0</v>
      </c>
      <c r="I26">
        <f t="shared" si="4"/>
        <v>0</v>
      </c>
      <c r="J26">
        <f t="shared" si="5"/>
        <v>0</v>
      </c>
      <c r="K26">
        <v>57696.69</v>
      </c>
      <c r="L26">
        <v>10218</v>
      </c>
      <c r="M26">
        <v>0.121</v>
      </c>
      <c r="N26">
        <v>25</v>
      </c>
      <c r="O26">
        <v>94.8</v>
      </c>
      <c r="P26">
        <v>2.99</v>
      </c>
      <c r="Q26">
        <v>0</v>
      </c>
      <c r="R26">
        <v>3.5</v>
      </c>
      <c r="S26">
        <v>811771.14</v>
      </c>
      <c r="T26">
        <v>148756.24</v>
      </c>
    </row>
    <row r="27" spans="1:20">
      <c r="A27" t="s">
        <v>26</v>
      </c>
      <c r="B27" s="2">
        <v>45689</v>
      </c>
      <c r="C27" t="s">
        <v>27</v>
      </c>
      <c r="D27">
        <f t="shared" si="0"/>
        <v>0</v>
      </c>
      <c r="E27">
        <f t="shared" si="1"/>
        <v>0</v>
      </c>
      <c r="F27">
        <f t="shared" si="2"/>
        <v>1</v>
      </c>
      <c r="G27" t="s">
        <v>28</v>
      </c>
      <c r="H27">
        <f t="shared" si="3"/>
        <v>0</v>
      </c>
      <c r="I27">
        <f t="shared" si="4"/>
        <v>0</v>
      </c>
      <c r="J27">
        <f t="shared" si="5"/>
        <v>0</v>
      </c>
      <c r="K27">
        <v>172415.52</v>
      </c>
      <c r="L27">
        <v>8927</v>
      </c>
      <c r="M27">
        <v>0.14000000000000001</v>
      </c>
      <c r="N27">
        <v>22</v>
      </c>
      <c r="O27">
        <v>86.2</v>
      </c>
      <c r="P27">
        <v>7.04</v>
      </c>
      <c r="Q27">
        <v>0</v>
      </c>
      <c r="R27">
        <v>3.9</v>
      </c>
      <c r="S27">
        <v>800451.94</v>
      </c>
      <c r="T27">
        <v>111572.29</v>
      </c>
    </row>
    <row r="28" spans="1:20">
      <c r="A28" t="s">
        <v>26</v>
      </c>
      <c r="B28" s="2">
        <v>45717</v>
      </c>
      <c r="C28" t="s">
        <v>27</v>
      </c>
      <c r="D28">
        <f t="shared" si="0"/>
        <v>0</v>
      </c>
      <c r="E28">
        <f t="shared" si="1"/>
        <v>0</v>
      </c>
      <c r="F28">
        <f t="shared" si="2"/>
        <v>1</v>
      </c>
      <c r="G28" t="s">
        <v>28</v>
      </c>
      <c r="H28">
        <f t="shared" si="3"/>
        <v>0</v>
      </c>
      <c r="I28">
        <f t="shared" si="4"/>
        <v>0</v>
      </c>
      <c r="J28">
        <f t="shared" si="5"/>
        <v>0</v>
      </c>
      <c r="K28">
        <v>55270.52</v>
      </c>
      <c r="L28">
        <v>9315</v>
      </c>
      <c r="M28">
        <v>0.16900000000000001</v>
      </c>
      <c r="N28">
        <v>23</v>
      </c>
      <c r="O28">
        <v>91.9</v>
      </c>
      <c r="P28">
        <v>4.9400000000000004</v>
      </c>
      <c r="Q28">
        <v>0</v>
      </c>
      <c r="R28">
        <v>4</v>
      </c>
      <c r="S28">
        <v>783672.82</v>
      </c>
      <c r="T28">
        <v>112577.14</v>
      </c>
    </row>
    <row r="29" spans="1:20">
      <c r="A29" t="s">
        <v>26</v>
      </c>
      <c r="B29" s="2">
        <v>45748</v>
      </c>
      <c r="C29" t="s">
        <v>27</v>
      </c>
      <c r="D29">
        <f t="shared" si="0"/>
        <v>0</v>
      </c>
      <c r="E29">
        <f t="shared" si="1"/>
        <v>0</v>
      </c>
      <c r="F29">
        <f t="shared" si="2"/>
        <v>1</v>
      </c>
      <c r="G29" t="s">
        <v>28</v>
      </c>
      <c r="H29">
        <f t="shared" si="3"/>
        <v>0</v>
      </c>
      <c r="I29">
        <f t="shared" si="4"/>
        <v>0</v>
      </c>
      <c r="J29">
        <f t="shared" si="5"/>
        <v>0</v>
      </c>
      <c r="K29">
        <v>52715.1</v>
      </c>
      <c r="L29">
        <v>7223</v>
      </c>
      <c r="M29">
        <v>0.122</v>
      </c>
      <c r="N29">
        <v>16</v>
      </c>
      <c r="O29">
        <v>84.2</v>
      </c>
      <c r="P29">
        <v>16.149999999999999</v>
      </c>
      <c r="Q29">
        <v>0</v>
      </c>
      <c r="R29">
        <v>3.7</v>
      </c>
      <c r="S29">
        <v>701641.97</v>
      </c>
      <c r="T29">
        <v>106111.86</v>
      </c>
    </row>
    <row r="30" spans="1:20">
      <c r="A30" t="s">
        <v>29</v>
      </c>
      <c r="B30" s="2">
        <v>45658</v>
      </c>
      <c r="C30" t="s">
        <v>15</v>
      </c>
      <c r="D30">
        <f t="shared" si="0"/>
        <v>0</v>
      </c>
      <c r="E30">
        <f t="shared" si="1"/>
        <v>0</v>
      </c>
      <c r="F30">
        <f t="shared" si="2"/>
        <v>0</v>
      </c>
      <c r="G30" t="s">
        <v>16</v>
      </c>
      <c r="H30">
        <f t="shared" si="3"/>
        <v>0</v>
      </c>
      <c r="I30">
        <f t="shared" si="4"/>
        <v>1</v>
      </c>
      <c r="J30">
        <f t="shared" si="5"/>
        <v>0</v>
      </c>
      <c r="K30">
        <v>68600.62</v>
      </c>
      <c r="L30">
        <v>3988</v>
      </c>
      <c r="M30">
        <v>0.124</v>
      </c>
      <c r="N30">
        <v>11</v>
      </c>
      <c r="O30">
        <v>85</v>
      </c>
      <c r="P30">
        <v>0.48</v>
      </c>
      <c r="Q30">
        <v>0</v>
      </c>
      <c r="R30">
        <v>3.6</v>
      </c>
      <c r="S30">
        <v>511844.41</v>
      </c>
      <c r="T30">
        <v>72774.44</v>
      </c>
    </row>
    <row r="31" spans="1:20">
      <c r="A31" t="s">
        <v>29</v>
      </c>
      <c r="B31" s="2">
        <v>45689</v>
      </c>
      <c r="C31" t="s">
        <v>15</v>
      </c>
      <c r="D31">
        <f t="shared" si="0"/>
        <v>0</v>
      </c>
      <c r="E31">
        <f t="shared" si="1"/>
        <v>0</v>
      </c>
      <c r="F31">
        <f t="shared" si="2"/>
        <v>0</v>
      </c>
      <c r="G31" t="s">
        <v>16</v>
      </c>
      <c r="H31">
        <f t="shared" si="3"/>
        <v>0</v>
      </c>
      <c r="I31">
        <f t="shared" si="4"/>
        <v>1</v>
      </c>
      <c r="J31">
        <f t="shared" si="5"/>
        <v>0</v>
      </c>
      <c r="K31">
        <v>63176.73</v>
      </c>
      <c r="L31">
        <v>2390</v>
      </c>
      <c r="M31">
        <v>0.216</v>
      </c>
      <c r="N31">
        <v>9</v>
      </c>
      <c r="O31">
        <v>87.5</v>
      </c>
      <c r="P31">
        <v>0.31</v>
      </c>
      <c r="Q31">
        <v>0</v>
      </c>
      <c r="R31">
        <v>3.1</v>
      </c>
      <c r="S31">
        <v>537383.79</v>
      </c>
      <c r="T31">
        <v>63773.27</v>
      </c>
    </row>
    <row r="32" spans="1:20">
      <c r="A32" t="s">
        <v>29</v>
      </c>
      <c r="B32" s="2">
        <v>45717</v>
      </c>
      <c r="C32" t="s">
        <v>15</v>
      </c>
      <c r="D32">
        <f t="shared" si="0"/>
        <v>0</v>
      </c>
      <c r="E32">
        <f t="shared" si="1"/>
        <v>0</v>
      </c>
      <c r="F32">
        <f t="shared" si="2"/>
        <v>0</v>
      </c>
      <c r="G32" t="s">
        <v>16</v>
      </c>
      <c r="H32">
        <f t="shared" si="3"/>
        <v>0</v>
      </c>
      <c r="I32">
        <f t="shared" si="4"/>
        <v>1</v>
      </c>
      <c r="J32">
        <f t="shared" si="5"/>
        <v>0</v>
      </c>
      <c r="K32">
        <v>44970.080000000002</v>
      </c>
      <c r="L32">
        <v>2471</v>
      </c>
      <c r="M32">
        <v>0.13600000000000001</v>
      </c>
      <c r="N32">
        <v>11</v>
      </c>
      <c r="O32">
        <v>87.6</v>
      </c>
      <c r="P32">
        <v>3.01</v>
      </c>
      <c r="Q32">
        <v>1</v>
      </c>
      <c r="R32">
        <v>3.7</v>
      </c>
      <c r="S32">
        <v>500173.02</v>
      </c>
      <c r="T32">
        <v>70982.05</v>
      </c>
    </row>
    <row r="33" spans="1:20">
      <c r="A33" t="s">
        <v>29</v>
      </c>
      <c r="B33" s="2">
        <v>45748</v>
      </c>
      <c r="C33" t="s">
        <v>15</v>
      </c>
      <c r="D33">
        <f t="shared" si="0"/>
        <v>0</v>
      </c>
      <c r="E33">
        <f t="shared" si="1"/>
        <v>0</v>
      </c>
      <c r="F33">
        <f t="shared" si="2"/>
        <v>0</v>
      </c>
      <c r="G33" t="s">
        <v>16</v>
      </c>
      <c r="H33">
        <f t="shared" si="3"/>
        <v>0</v>
      </c>
      <c r="I33">
        <f t="shared" si="4"/>
        <v>1</v>
      </c>
      <c r="J33">
        <f t="shared" si="5"/>
        <v>0</v>
      </c>
      <c r="K33">
        <v>69816.350000000006</v>
      </c>
      <c r="L33">
        <v>971</v>
      </c>
      <c r="M33">
        <v>0.16800000000000001</v>
      </c>
      <c r="N33">
        <v>5</v>
      </c>
      <c r="O33">
        <v>89.9</v>
      </c>
      <c r="P33">
        <v>12.15</v>
      </c>
      <c r="Q33">
        <v>0</v>
      </c>
      <c r="R33">
        <v>3.6</v>
      </c>
      <c r="S33">
        <v>427917.38</v>
      </c>
      <c r="T33">
        <v>81824.31</v>
      </c>
    </row>
    <row r="34" spans="1:20">
      <c r="A34" t="s">
        <v>30</v>
      </c>
      <c r="B34" s="2">
        <v>45658</v>
      </c>
      <c r="C34" t="s">
        <v>20</v>
      </c>
      <c r="D34">
        <f t="shared" si="0"/>
        <v>1</v>
      </c>
      <c r="E34">
        <f t="shared" si="1"/>
        <v>0</v>
      </c>
      <c r="F34">
        <f t="shared" si="2"/>
        <v>0</v>
      </c>
      <c r="G34" t="s">
        <v>16</v>
      </c>
      <c r="H34">
        <f t="shared" si="3"/>
        <v>0</v>
      </c>
      <c r="I34">
        <f t="shared" si="4"/>
        <v>1</v>
      </c>
      <c r="J34">
        <f t="shared" si="5"/>
        <v>0</v>
      </c>
      <c r="K34">
        <v>54597.83</v>
      </c>
      <c r="L34">
        <v>9429</v>
      </c>
      <c r="M34">
        <v>0.188</v>
      </c>
      <c r="N34">
        <v>21</v>
      </c>
      <c r="O34">
        <v>83.3</v>
      </c>
      <c r="P34">
        <v>11.71</v>
      </c>
      <c r="Q34">
        <v>0</v>
      </c>
      <c r="R34">
        <v>4.2</v>
      </c>
      <c r="S34">
        <v>641865.03</v>
      </c>
      <c r="T34">
        <v>81342.58</v>
      </c>
    </row>
    <row r="35" spans="1:20">
      <c r="A35" t="s">
        <v>30</v>
      </c>
      <c r="B35" s="2">
        <v>45689</v>
      </c>
      <c r="C35" t="s">
        <v>20</v>
      </c>
      <c r="D35">
        <f t="shared" si="0"/>
        <v>1</v>
      </c>
      <c r="E35">
        <f t="shared" si="1"/>
        <v>0</v>
      </c>
      <c r="F35">
        <f t="shared" si="2"/>
        <v>0</v>
      </c>
      <c r="G35" t="s">
        <v>16</v>
      </c>
      <c r="H35">
        <f t="shared" si="3"/>
        <v>0</v>
      </c>
      <c r="I35">
        <f t="shared" si="4"/>
        <v>1</v>
      </c>
      <c r="J35">
        <f t="shared" si="5"/>
        <v>0</v>
      </c>
      <c r="K35">
        <v>73771.91</v>
      </c>
      <c r="L35">
        <v>11695</v>
      </c>
      <c r="M35">
        <v>7.0000000000000007E-2</v>
      </c>
      <c r="N35">
        <v>25</v>
      </c>
      <c r="O35">
        <v>84.7</v>
      </c>
      <c r="P35">
        <v>0.62</v>
      </c>
      <c r="Q35">
        <v>0</v>
      </c>
      <c r="R35">
        <v>3.92</v>
      </c>
      <c r="S35">
        <v>799477.76000000001</v>
      </c>
      <c r="T35">
        <v>164974.41</v>
      </c>
    </row>
    <row r="36" spans="1:20">
      <c r="A36" t="s">
        <v>30</v>
      </c>
      <c r="B36" s="2">
        <v>45717</v>
      </c>
      <c r="C36" t="s">
        <v>20</v>
      </c>
      <c r="D36">
        <f t="shared" si="0"/>
        <v>1</v>
      </c>
      <c r="E36">
        <f t="shared" si="1"/>
        <v>0</v>
      </c>
      <c r="F36">
        <f t="shared" si="2"/>
        <v>0</v>
      </c>
      <c r="G36" t="s">
        <v>16</v>
      </c>
      <c r="H36">
        <f t="shared" si="3"/>
        <v>0</v>
      </c>
      <c r="I36">
        <f t="shared" si="4"/>
        <v>1</v>
      </c>
      <c r="J36">
        <f t="shared" si="5"/>
        <v>0</v>
      </c>
      <c r="K36">
        <v>74413.88</v>
      </c>
      <c r="L36">
        <v>9449</v>
      </c>
      <c r="M36">
        <v>3.9E-2</v>
      </c>
      <c r="N36">
        <v>23</v>
      </c>
      <c r="O36">
        <v>92.1</v>
      </c>
      <c r="P36">
        <v>2.12</v>
      </c>
      <c r="Q36">
        <v>0</v>
      </c>
      <c r="R36">
        <v>3.5</v>
      </c>
      <c r="S36">
        <v>798952.17</v>
      </c>
      <c r="T36">
        <v>161499.04</v>
      </c>
    </row>
    <row r="37" spans="1:20">
      <c r="A37" t="s">
        <v>30</v>
      </c>
      <c r="B37" s="2">
        <v>45748</v>
      </c>
      <c r="C37" t="s">
        <v>20</v>
      </c>
      <c r="D37">
        <f t="shared" si="0"/>
        <v>1</v>
      </c>
      <c r="E37">
        <f t="shared" si="1"/>
        <v>0</v>
      </c>
      <c r="F37">
        <f t="shared" si="2"/>
        <v>0</v>
      </c>
      <c r="G37" t="s">
        <v>16</v>
      </c>
      <c r="H37">
        <f t="shared" si="3"/>
        <v>0</v>
      </c>
      <c r="I37">
        <f t="shared" si="4"/>
        <v>1</v>
      </c>
      <c r="J37">
        <f t="shared" si="5"/>
        <v>0</v>
      </c>
      <c r="K37">
        <v>52483.77</v>
      </c>
      <c r="L37">
        <v>10453</v>
      </c>
      <c r="M37">
        <v>0.247</v>
      </c>
      <c r="N37">
        <v>25</v>
      </c>
      <c r="O37">
        <v>99</v>
      </c>
      <c r="P37">
        <v>6.31</v>
      </c>
      <c r="Q37">
        <v>0</v>
      </c>
      <c r="R37">
        <v>3.6</v>
      </c>
      <c r="S37">
        <v>800979.78</v>
      </c>
      <c r="T37">
        <v>149242.26999999999</v>
      </c>
    </row>
    <row r="38" spans="1:20">
      <c r="A38" t="s">
        <v>31</v>
      </c>
      <c r="B38" s="2">
        <v>45658</v>
      </c>
      <c r="C38" t="s">
        <v>20</v>
      </c>
      <c r="D38">
        <f t="shared" si="0"/>
        <v>1</v>
      </c>
      <c r="E38">
        <f t="shared" si="1"/>
        <v>0</v>
      </c>
      <c r="F38">
        <f t="shared" si="2"/>
        <v>0</v>
      </c>
      <c r="G38" t="s">
        <v>28</v>
      </c>
      <c r="H38">
        <f t="shared" si="3"/>
        <v>0</v>
      </c>
      <c r="I38">
        <f t="shared" si="4"/>
        <v>0</v>
      </c>
      <c r="J38">
        <f t="shared" si="5"/>
        <v>0</v>
      </c>
      <c r="K38">
        <v>75269.87</v>
      </c>
      <c r="L38">
        <v>8838</v>
      </c>
      <c r="M38">
        <v>9.1999999999999998E-2</v>
      </c>
      <c r="N38">
        <v>21</v>
      </c>
      <c r="O38">
        <v>83.1</v>
      </c>
      <c r="P38">
        <v>9.56</v>
      </c>
      <c r="Q38">
        <v>1</v>
      </c>
      <c r="R38">
        <v>4.2</v>
      </c>
      <c r="S38">
        <v>820593.93</v>
      </c>
      <c r="T38">
        <v>115860.06</v>
      </c>
    </row>
    <row r="39" spans="1:20">
      <c r="A39" t="s">
        <v>31</v>
      </c>
      <c r="B39" s="2">
        <v>45689</v>
      </c>
      <c r="C39" t="s">
        <v>20</v>
      </c>
      <c r="D39">
        <f t="shared" si="0"/>
        <v>1</v>
      </c>
      <c r="E39">
        <f t="shared" si="1"/>
        <v>0</v>
      </c>
      <c r="F39">
        <f t="shared" si="2"/>
        <v>0</v>
      </c>
      <c r="G39" t="s">
        <v>28</v>
      </c>
      <c r="H39">
        <f t="shared" si="3"/>
        <v>0</v>
      </c>
      <c r="I39">
        <f t="shared" si="4"/>
        <v>0</v>
      </c>
      <c r="J39">
        <f t="shared" si="5"/>
        <v>0</v>
      </c>
      <c r="K39">
        <v>61245.41</v>
      </c>
      <c r="L39">
        <v>8156</v>
      </c>
      <c r="M39">
        <v>0.156</v>
      </c>
      <c r="N39">
        <v>19</v>
      </c>
      <c r="O39">
        <v>92.9</v>
      </c>
      <c r="P39">
        <v>9.0500000000000007</v>
      </c>
      <c r="Q39">
        <v>0</v>
      </c>
      <c r="R39">
        <v>3.8</v>
      </c>
      <c r="S39">
        <v>718330.53</v>
      </c>
      <c r="T39">
        <v>93247.9</v>
      </c>
    </row>
    <row r="40" spans="1:20">
      <c r="A40" t="s">
        <v>31</v>
      </c>
      <c r="B40" s="2">
        <v>45717</v>
      </c>
      <c r="C40" t="s">
        <v>20</v>
      </c>
      <c r="D40">
        <f t="shared" si="0"/>
        <v>1</v>
      </c>
      <c r="E40">
        <f t="shared" si="1"/>
        <v>0</v>
      </c>
      <c r="F40">
        <f t="shared" si="2"/>
        <v>0</v>
      </c>
      <c r="G40" t="s">
        <v>28</v>
      </c>
      <c r="H40">
        <f t="shared" si="3"/>
        <v>0</v>
      </c>
      <c r="I40">
        <f t="shared" si="4"/>
        <v>0</v>
      </c>
      <c r="J40">
        <f t="shared" si="5"/>
        <v>0</v>
      </c>
      <c r="K40">
        <v>93381.26</v>
      </c>
      <c r="L40">
        <v>7562</v>
      </c>
      <c r="M40">
        <v>0.19800000000000001</v>
      </c>
      <c r="N40">
        <v>19</v>
      </c>
      <c r="O40">
        <v>82.9</v>
      </c>
      <c r="P40">
        <v>5.05</v>
      </c>
      <c r="Q40">
        <v>0</v>
      </c>
      <c r="R40">
        <v>4</v>
      </c>
      <c r="S40">
        <v>736633.4</v>
      </c>
      <c r="T40">
        <v>115654.66</v>
      </c>
    </row>
    <row r="41" spans="1:20">
      <c r="A41" t="s">
        <v>31</v>
      </c>
      <c r="B41" s="2">
        <v>45748</v>
      </c>
      <c r="C41" t="s">
        <v>20</v>
      </c>
      <c r="D41">
        <f t="shared" si="0"/>
        <v>1</v>
      </c>
      <c r="E41">
        <f t="shared" si="1"/>
        <v>0</v>
      </c>
      <c r="F41">
        <f t="shared" si="2"/>
        <v>0</v>
      </c>
      <c r="G41" t="s">
        <v>28</v>
      </c>
      <c r="H41">
        <f t="shared" si="3"/>
        <v>0</v>
      </c>
      <c r="I41">
        <f t="shared" si="4"/>
        <v>0</v>
      </c>
      <c r="J41">
        <f t="shared" si="5"/>
        <v>0</v>
      </c>
      <c r="K41">
        <v>65012.19</v>
      </c>
      <c r="L41">
        <v>9598</v>
      </c>
      <c r="M41">
        <v>8.5000000000000006E-2</v>
      </c>
      <c r="N41">
        <v>24</v>
      </c>
      <c r="O41">
        <v>98.3</v>
      </c>
      <c r="P41">
        <v>0.89</v>
      </c>
      <c r="Q41">
        <v>0</v>
      </c>
      <c r="R41">
        <v>3.8</v>
      </c>
      <c r="S41">
        <v>828623.85</v>
      </c>
      <c r="T41">
        <v>167320.51999999999</v>
      </c>
    </row>
    <row r="42" spans="1:20">
      <c r="A42" t="s">
        <v>32</v>
      </c>
      <c r="B42" s="2">
        <v>45658</v>
      </c>
      <c r="C42" t="s">
        <v>15</v>
      </c>
      <c r="D42">
        <f t="shared" si="0"/>
        <v>0</v>
      </c>
      <c r="E42">
        <f t="shared" si="1"/>
        <v>0</v>
      </c>
      <c r="F42">
        <f t="shared" si="2"/>
        <v>0</v>
      </c>
      <c r="G42" t="s">
        <v>28</v>
      </c>
      <c r="H42">
        <f t="shared" si="3"/>
        <v>0</v>
      </c>
      <c r="I42">
        <f t="shared" si="4"/>
        <v>0</v>
      </c>
      <c r="J42">
        <f t="shared" si="5"/>
        <v>0</v>
      </c>
      <c r="K42">
        <v>40462.94</v>
      </c>
      <c r="L42">
        <v>3660</v>
      </c>
      <c r="M42">
        <v>0.218</v>
      </c>
      <c r="N42">
        <v>11</v>
      </c>
      <c r="O42">
        <v>95.2</v>
      </c>
      <c r="P42">
        <v>5.57</v>
      </c>
      <c r="Q42">
        <v>0</v>
      </c>
      <c r="R42">
        <v>4.4000000000000004</v>
      </c>
      <c r="S42">
        <v>592195.85</v>
      </c>
      <c r="T42">
        <v>92291.56</v>
      </c>
    </row>
    <row r="43" spans="1:20">
      <c r="A43" t="s">
        <v>32</v>
      </c>
      <c r="B43" s="2">
        <v>45689</v>
      </c>
      <c r="C43" t="s">
        <v>15</v>
      </c>
      <c r="D43">
        <f t="shared" si="0"/>
        <v>0</v>
      </c>
      <c r="E43">
        <f t="shared" si="1"/>
        <v>0</v>
      </c>
      <c r="F43">
        <f t="shared" si="2"/>
        <v>0</v>
      </c>
      <c r="G43" t="s">
        <v>28</v>
      </c>
      <c r="H43">
        <f t="shared" si="3"/>
        <v>0</v>
      </c>
      <c r="I43">
        <f t="shared" si="4"/>
        <v>0</v>
      </c>
      <c r="J43">
        <f t="shared" si="5"/>
        <v>0</v>
      </c>
      <c r="K43">
        <v>46123.88</v>
      </c>
      <c r="L43">
        <v>3227</v>
      </c>
      <c r="M43">
        <v>0.14299999999999999</v>
      </c>
      <c r="N43">
        <v>10</v>
      </c>
      <c r="O43">
        <v>75.400000000000006</v>
      </c>
      <c r="P43">
        <v>1.06</v>
      </c>
      <c r="Q43">
        <v>0</v>
      </c>
      <c r="R43">
        <v>4.4000000000000004</v>
      </c>
      <c r="S43">
        <v>532644.46</v>
      </c>
      <c r="T43">
        <v>60681.32</v>
      </c>
    </row>
    <row r="44" spans="1:20">
      <c r="A44" t="s">
        <v>32</v>
      </c>
      <c r="B44" s="2">
        <v>45717</v>
      </c>
      <c r="C44" t="s">
        <v>15</v>
      </c>
      <c r="D44">
        <f t="shared" si="0"/>
        <v>0</v>
      </c>
      <c r="E44">
        <f t="shared" si="1"/>
        <v>0</v>
      </c>
      <c r="F44">
        <f t="shared" si="2"/>
        <v>0</v>
      </c>
      <c r="G44" t="s">
        <v>28</v>
      </c>
      <c r="H44">
        <f t="shared" si="3"/>
        <v>0</v>
      </c>
      <c r="I44">
        <f t="shared" si="4"/>
        <v>0</v>
      </c>
      <c r="J44">
        <f t="shared" si="5"/>
        <v>0</v>
      </c>
      <c r="K44">
        <v>68077.539999999994</v>
      </c>
      <c r="L44">
        <v>3360</v>
      </c>
      <c r="M44">
        <v>0.128</v>
      </c>
      <c r="N44">
        <v>14</v>
      </c>
      <c r="O44">
        <v>88.2</v>
      </c>
      <c r="P44">
        <v>1.24</v>
      </c>
      <c r="Q44">
        <v>1</v>
      </c>
      <c r="R44">
        <v>4</v>
      </c>
      <c r="S44">
        <v>657429.18000000005</v>
      </c>
      <c r="T44">
        <v>88919.74</v>
      </c>
    </row>
    <row r="45" spans="1:20">
      <c r="A45" t="s">
        <v>32</v>
      </c>
      <c r="B45" s="2">
        <v>45748</v>
      </c>
      <c r="C45" t="s">
        <v>15</v>
      </c>
      <c r="D45">
        <f t="shared" si="0"/>
        <v>0</v>
      </c>
      <c r="E45">
        <f t="shared" si="1"/>
        <v>0</v>
      </c>
      <c r="F45">
        <f t="shared" si="2"/>
        <v>0</v>
      </c>
      <c r="G45" t="s">
        <v>28</v>
      </c>
      <c r="H45">
        <f t="shared" si="3"/>
        <v>0</v>
      </c>
      <c r="I45">
        <f t="shared" si="4"/>
        <v>0</v>
      </c>
      <c r="J45">
        <f t="shared" si="5"/>
        <v>0</v>
      </c>
      <c r="K45">
        <v>64882.14</v>
      </c>
      <c r="L45">
        <v>3642</v>
      </c>
      <c r="M45">
        <v>1.9E-2</v>
      </c>
      <c r="N45">
        <v>13</v>
      </c>
      <c r="O45">
        <v>87.8</v>
      </c>
      <c r="P45">
        <v>4.5199999999999996</v>
      </c>
      <c r="Q45">
        <v>0</v>
      </c>
      <c r="R45">
        <v>4.2</v>
      </c>
      <c r="S45">
        <v>605178</v>
      </c>
      <c r="T45">
        <v>106958.74</v>
      </c>
    </row>
    <row r="46" spans="1:20">
      <c r="A46" t="s">
        <v>33</v>
      </c>
      <c r="B46" s="2">
        <v>45658</v>
      </c>
      <c r="C46" t="s">
        <v>27</v>
      </c>
      <c r="D46">
        <f t="shared" si="0"/>
        <v>0</v>
      </c>
      <c r="E46">
        <f t="shared" si="1"/>
        <v>0</v>
      </c>
      <c r="F46">
        <f t="shared" si="2"/>
        <v>1</v>
      </c>
      <c r="G46" t="s">
        <v>16</v>
      </c>
      <c r="H46">
        <f t="shared" si="3"/>
        <v>0</v>
      </c>
      <c r="I46">
        <f t="shared" si="4"/>
        <v>1</v>
      </c>
      <c r="J46">
        <f t="shared" si="5"/>
        <v>0</v>
      </c>
      <c r="K46">
        <v>138855.51</v>
      </c>
      <c r="L46">
        <v>5145</v>
      </c>
      <c r="M46">
        <v>0.06</v>
      </c>
      <c r="N46">
        <v>17</v>
      </c>
      <c r="O46">
        <v>88.2</v>
      </c>
      <c r="P46">
        <v>9.58</v>
      </c>
      <c r="Q46">
        <v>0</v>
      </c>
      <c r="R46">
        <v>3.2</v>
      </c>
      <c r="S46">
        <v>595467.6</v>
      </c>
      <c r="T46">
        <v>104276.46</v>
      </c>
    </row>
    <row r="47" spans="1:20">
      <c r="A47" t="s">
        <v>33</v>
      </c>
      <c r="B47" s="2">
        <v>45689</v>
      </c>
      <c r="C47" t="s">
        <v>27</v>
      </c>
      <c r="D47">
        <f t="shared" si="0"/>
        <v>0</v>
      </c>
      <c r="E47">
        <f t="shared" si="1"/>
        <v>0</v>
      </c>
      <c r="F47">
        <f t="shared" si="2"/>
        <v>1</v>
      </c>
      <c r="G47" t="s">
        <v>16</v>
      </c>
      <c r="H47">
        <f t="shared" si="3"/>
        <v>0</v>
      </c>
      <c r="I47">
        <f t="shared" si="4"/>
        <v>1</v>
      </c>
      <c r="J47">
        <f t="shared" si="5"/>
        <v>0</v>
      </c>
      <c r="K47">
        <v>63630.21</v>
      </c>
      <c r="L47">
        <v>4460</v>
      </c>
      <c r="M47">
        <v>0.23499999999999999</v>
      </c>
      <c r="N47">
        <v>14</v>
      </c>
      <c r="O47">
        <v>98.6</v>
      </c>
      <c r="P47">
        <v>5.52</v>
      </c>
      <c r="Q47">
        <v>0</v>
      </c>
      <c r="R47">
        <v>3.5</v>
      </c>
      <c r="S47">
        <v>599603.4</v>
      </c>
      <c r="T47">
        <v>112685.12</v>
      </c>
    </row>
    <row r="48" spans="1:20">
      <c r="A48" t="s">
        <v>33</v>
      </c>
      <c r="B48" s="2">
        <v>45717</v>
      </c>
      <c r="C48" t="s">
        <v>27</v>
      </c>
      <c r="D48">
        <f t="shared" si="0"/>
        <v>0</v>
      </c>
      <c r="E48">
        <f t="shared" si="1"/>
        <v>0</v>
      </c>
      <c r="F48">
        <f t="shared" si="2"/>
        <v>1</v>
      </c>
      <c r="G48" t="s">
        <v>16</v>
      </c>
      <c r="H48">
        <f t="shared" si="3"/>
        <v>0</v>
      </c>
      <c r="I48">
        <f t="shared" si="4"/>
        <v>1</v>
      </c>
      <c r="J48">
        <f t="shared" si="5"/>
        <v>0</v>
      </c>
      <c r="K48">
        <v>50043.65</v>
      </c>
      <c r="L48">
        <v>3804</v>
      </c>
      <c r="M48">
        <v>0.113</v>
      </c>
      <c r="N48">
        <v>11</v>
      </c>
      <c r="O48">
        <v>90.9</v>
      </c>
      <c r="P48">
        <v>2.7</v>
      </c>
      <c r="Q48">
        <v>1</v>
      </c>
      <c r="R48">
        <v>3.2</v>
      </c>
      <c r="S48">
        <v>614800.09</v>
      </c>
      <c r="T48">
        <v>100044.2</v>
      </c>
    </row>
    <row r="49" spans="1:20">
      <c r="A49" t="s">
        <v>33</v>
      </c>
      <c r="B49" s="2">
        <v>45748</v>
      </c>
      <c r="C49" t="s">
        <v>27</v>
      </c>
      <c r="D49">
        <f t="shared" si="0"/>
        <v>0</v>
      </c>
      <c r="E49">
        <f t="shared" si="1"/>
        <v>0</v>
      </c>
      <c r="F49">
        <f t="shared" si="2"/>
        <v>1</v>
      </c>
      <c r="G49" t="s">
        <v>16</v>
      </c>
      <c r="H49">
        <f t="shared" si="3"/>
        <v>0</v>
      </c>
      <c r="I49">
        <f t="shared" si="4"/>
        <v>1</v>
      </c>
      <c r="J49">
        <f t="shared" si="5"/>
        <v>0</v>
      </c>
      <c r="K49">
        <v>42093.84</v>
      </c>
      <c r="L49">
        <v>4074</v>
      </c>
      <c r="M49">
        <v>0.155</v>
      </c>
      <c r="N49">
        <v>15</v>
      </c>
      <c r="O49">
        <v>88</v>
      </c>
      <c r="P49">
        <v>9.64</v>
      </c>
      <c r="Q49">
        <v>0</v>
      </c>
      <c r="R49">
        <v>3.3</v>
      </c>
      <c r="S49">
        <v>585365.73</v>
      </c>
      <c r="T49">
        <v>81011.520000000004</v>
      </c>
    </row>
    <row r="50" spans="1:20">
      <c r="A50" t="s">
        <v>34</v>
      </c>
      <c r="B50" s="2">
        <v>45658</v>
      </c>
      <c r="C50" t="s">
        <v>20</v>
      </c>
      <c r="D50">
        <f t="shared" si="0"/>
        <v>1</v>
      </c>
      <c r="E50">
        <f t="shared" si="1"/>
        <v>0</v>
      </c>
      <c r="F50">
        <f t="shared" si="2"/>
        <v>0</v>
      </c>
      <c r="G50" t="s">
        <v>28</v>
      </c>
      <c r="H50">
        <f t="shared" si="3"/>
        <v>0</v>
      </c>
      <c r="I50">
        <f t="shared" si="4"/>
        <v>0</v>
      </c>
      <c r="J50">
        <f t="shared" si="5"/>
        <v>0</v>
      </c>
      <c r="K50">
        <v>46624.05</v>
      </c>
      <c r="L50">
        <v>5104</v>
      </c>
      <c r="M50">
        <v>0.109</v>
      </c>
      <c r="N50">
        <v>11</v>
      </c>
      <c r="O50">
        <v>97.3</v>
      </c>
      <c r="P50">
        <v>3.49</v>
      </c>
      <c r="Q50">
        <v>1</v>
      </c>
      <c r="R50">
        <v>4.7</v>
      </c>
      <c r="S50">
        <v>622811.74</v>
      </c>
      <c r="T50">
        <v>109978.35</v>
      </c>
    </row>
    <row r="51" spans="1:20">
      <c r="A51" t="s">
        <v>34</v>
      </c>
      <c r="B51" s="2">
        <v>45689</v>
      </c>
      <c r="C51" t="s">
        <v>20</v>
      </c>
      <c r="D51">
        <f t="shared" si="0"/>
        <v>1</v>
      </c>
      <c r="E51">
        <f t="shared" si="1"/>
        <v>0</v>
      </c>
      <c r="F51">
        <f t="shared" si="2"/>
        <v>0</v>
      </c>
      <c r="G51" t="s">
        <v>28</v>
      </c>
      <c r="H51">
        <f t="shared" si="3"/>
        <v>0</v>
      </c>
      <c r="I51">
        <f t="shared" si="4"/>
        <v>0</v>
      </c>
      <c r="J51">
        <f t="shared" si="5"/>
        <v>0</v>
      </c>
      <c r="K51">
        <v>49710.29</v>
      </c>
      <c r="L51">
        <v>5559</v>
      </c>
      <c r="M51">
        <v>0.218</v>
      </c>
      <c r="N51">
        <v>14</v>
      </c>
      <c r="O51">
        <v>71</v>
      </c>
      <c r="P51">
        <v>9.11</v>
      </c>
      <c r="Q51">
        <v>0</v>
      </c>
      <c r="R51">
        <v>4.5999999999999996</v>
      </c>
      <c r="S51">
        <v>603297.56999999995</v>
      </c>
      <c r="T51">
        <v>60592.26</v>
      </c>
    </row>
    <row r="52" spans="1:20">
      <c r="A52" t="s">
        <v>34</v>
      </c>
      <c r="B52" s="2">
        <v>45717</v>
      </c>
      <c r="C52" t="s">
        <v>20</v>
      </c>
      <c r="D52">
        <f t="shared" si="0"/>
        <v>1</v>
      </c>
      <c r="E52">
        <f t="shared" si="1"/>
        <v>0</v>
      </c>
      <c r="F52">
        <f t="shared" si="2"/>
        <v>0</v>
      </c>
      <c r="G52" t="s">
        <v>28</v>
      </c>
      <c r="H52">
        <f t="shared" si="3"/>
        <v>0</v>
      </c>
      <c r="I52">
        <f t="shared" si="4"/>
        <v>0</v>
      </c>
      <c r="J52">
        <f t="shared" si="5"/>
        <v>0</v>
      </c>
      <c r="K52">
        <v>48287.85</v>
      </c>
      <c r="L52">
        <v>5150</v>
      </c>
      <c r="M52">
        <v>8.0000000000000002E-3</v>
      </c>
      <c r="N52">
        <v>12</v>
      </c>
      <c r="O52">
        <v>80.400000000000006</v>
      </c>
      <c r="P52">
        <v>7.4</v>
      </c>
      <c r="Q52">
        <v>0</v>
      </c>
      <c r="R52">
        <v>4.5</v>
      </c>
      <c r="S52">
        <v>625672.86</v>
      </c>
      <c r="T52">
        <v>118020.12</v>
      </c>
    </row>
    <row r="53" spans="1:20">
      <c r="A53" t="s">
        <v>34</v>
      </c>
      <c r="B53" s="2">
        <v>45748</v>
      </c>
      <c r="C53" t="s">
        <v>20</v>
      </c>
      <c r="D53">
        <f t="shared" si="0"/>
        <v>1</v>
      </c>
      <c r="E53">
        <f t="shared" si="1"/>
        <v>0</v>
      </c>
      <c r="F53">
        <f t="shared" si="2"/>
        <v>0</v>
      </c>
      <c r="G53" t="s">
        <v>28</v>
      </c>
      <c r="H53">
        <f t="shared" si="3"/>
        <v>0</v>
      </c>
      <c r="I53">
        <f t="shared" si="4"/>
        <v>0</v>
      </c>
      <c r="J53">
        <f t="shared" si="5"/>
        <v>0</v>
      </c>
      <c r="K53">
        <v>65312.49</v>
      </c>
      <c r="L53">
        <v>7189</v>
      </c>
      <c r="M53">
        <v>0.05</v>
      </c>
      <c r="N53">
        <v>19</v>
      </c>
      <c r="O53">
        <v>93.7</v>
      </c>
      <c r="P53">
        <v>7.16</v>
      </c>
      <c r="Q53">
        <v>0</v>
      </c>
      <c r="R53">
        <v>4.5999999999999996</v>
      </c>
      <c r="S53">
        <v>773815.14</v>
      </c>
      <c r="T53">
        <v>133948.39000000001</v>
      </c>
    </row>
    <row r="54" spans="1:20">
      <c r="A54" t="s">
        <v>35</v>
      </c>
      <c r="B54" s="2">
        <v>45658</v>
      </c>
      <c r="C54" t="s">
        <v>27</v>
      </c>
      <c r="D54">
        <f t="shared" si="0"/>
        <v>0</v>
      </c>
      <c r="E54">
        <f t="shared" si="1"/>
        <v>0</v>
      </c>
      <c r="F54">
        <f t="shared" si="2"/>
        <v>1</v>
      </c>
      <c r="G54" t="s">
        <v>18</v>
      </c>
      <c r="H54">
        <f t="shared" si="3"/>
        <v>1</v>
      </c>
      <c r="I54">
        <f t="shared" si="4"/>
        <v>0</v>
      </c>
      <c r="J54">
        <f t="shared" si="5"/>
        <v>0</v>
      </c>
      <c r="K54">
        <v>53015.46</v>
      </c>
      <c r="L54">
        <v>3279</v>
      </c>
      <c r="M54">
        <v>8.6999999999999994E-2</v>
      </c>
      <c r="N54">
        <v>9</v>
      </c>
      <c r="O54">
        <v>84.3</v>
      </c>
      <c r="P54">
        <v>22.02</v>
      </c>
      <c r="Q54">
        <v>0</v>
      </c>
      <c r="R54">
        <v>3.9</v>
      </c>
      <c r="S54">
        <v>463534.25</v>
      </c>
      <c r="T54">
        <v>81834.539999999994</v>
      </c>
    </row>
    <row r="55" spans="1:20">
      <c r="A55" t="s">
        <v>35</v>
      </c>
      <c r="B55" s="2">
        <v>45689</v>
      </c>
      <c r="C55" t="s">
        <v>27</v>
      </c>
      <c r="D55">
        <f t="shared" si="0"/>
        <v>0</v>
      </c>
      <c r="E55">
        <f t="shared" si="1"/>
        <v>0</v>
      </c>
      <c r="F55">
        <f t="shared" si="2"/>
        <v>1</v>
      </c>
      <c r="G55" t="s">
        <v>18</v>
      </c>
      <c r="H55">
        <f t="shared" si="3"/>
        <v>1</v>
      </c>
      <c r="I55">
        <f t="shared" si="4"/>
        <v>0</v>
      </c>
      <c r="J55">
        <f t="shared" si="5"/>
        <v>0</v>
      </c>
      <c r="K55">
        <v>99874.01</v>
      </c>
      <c r="L55">
        <v>5887</v>
      </c>
      <c r="M55">
        <v>0.26200000000000001</v>
      </c>
      <c r="N55">
        <v>14</v>
      </c>
      <c r="O55">
        <v>88.7</v>
      </c>
      <c r="P55">
        <v>6.18</v>
      </c>
      <c r="Q55">
        <v>0</v>
      </c>
      <c r="R55">
        <v>4.7</v>
      </c>
      <c r="S55">
        <v>746677.75</v>
      </c>
      <c r="T55">
        <v>122437.84</v>
      </c>
    </row>
    <row r="56" spans="1:20">
      <c r="A56" t="s">
        <v>35</v>
      </c>
      <c r="B56" s="2">
        <v>45717</v>
      </c>
      <c r="C56" t="s">
        <v>27</v>
      </c>
      <c r="D56">
        <f t="shared" si="0"/>
        <v>0</v>
      </c>
      <c r="E56">
        <f t="shared" si="1"/>
        <v>0</v>
      </c>
      <c r="F56">
        <f t="shared" si="2"/>
        <v>1</v>
      </c>
      <c r="G56" t="s">
        <v>18</v>
      </c>
      <c r="H56">
        <f t="shared" si="3"/>
        <v>1</v>
      </c>
      <c r="I56">
        <f t="shared" si="4"/>
        <v>0</v>
      </c>
      <c r="J56">
        <f t="shared" si="5"/>
        <v>0</v>
      </c>
      <c r="K56">
        <v>81195.5</v>
      </c>
      <c r="L56">
        <v>5516</v>
      </c>
      <c r="M56">
        <v>0.106</v>
      </c>
      <c r="N56">
        <v>14</v>
      </c>
      <c r="O56">
        <v>88</v>
      </c>
      <c r="P56">
        <v>1.76</v>
      </c>
      <c r="Q56">
        <v>0</v>
      </c>
      <c r="R56">
        <v>4.3</v>
      </c>
      <c r="S56">
        <v>720852.5</v>
      </c>
      <c r="T56">
        <v>98565.62</v>
      </c>
    </row>
    <row r="57" spans="1:20">
      <c r="A57" t="s">
        <v>35</v>
      </c>
      <c r="B57" s="2">
        <v>45748</v>
      </c>
      <c r="C57" t="s">
        <v>27</v>
      </c>
      <c r="D57">
        <f t="shared" si="0"/>
        <v>0</v>
      </c>
      <c r="E57">
        <f t="shared" si="1"/>
        <v>0</v>
      </c>
      <c r="F57">
        <f t="shared" si="2"/>
        <v>1</v>
      </c>
      <c r="G57" t="s">
        <v>18</v>
      </c>
      <c r="H57">
        <f t="shared" si="3"/>
        <v>1</v>
      </c>
      <c r="I57">
        <f t="shared" si="4"/>
        <v>0</v>
      </c>
      <c r="J57">
        <f t="shared" si="5"/>
        <v>0</v>
      </c>
      <c r="K57">
        <v>27808.6</v>
      </c>
      <c r="L57">
        <v>2863</v>
      </c>
      <c r="M57">
        <v>0.08</v>
      </c>
      <c r="N57">
        <v>13</v>
      </c>
      <c r="O57">
        <v>89.3</v>
      </c>
      <c r="P57">
        <v>0.47</v>
      </c>
      <c r="Q57">
        <v>0</v>
      </c>
      <c r="R57">
        <v>4.0999999999999996</v>
      </c>
      <c r="S57">
        <v>487464.91</v>
      </c>
      <c r="T57">
        <v>64562.26</v>
      </c>
    </row>
    <row r="58" spans="1:20">
      <c r="A58" t="s">
        <v>36</v>
      </c>
      <c r="B58" s="2">
        <v>45658</v>
      </c>
      <c r="C58" t="s">
        <v>15</v>
      </c>
      <c r="D58">
        <f t="shared" si="0"/>
        <v>0</v>
      </c>
      <c r="E58">
        <f t="shared" si="1"/>
        <v>0</v>
      </c>
      <c r="F58">
        <f t="shared" si="2"/>
        <v>0</v>
      </c>
      <c r="G58" t="s">
        <v>21</v>
      </c>
      <c r="H58">
        <f t="shared" si="3"/>
        <v>0</v>
      </c>
      <c r="I58">
        <f t="shared" si="4"/>
        <v>0</v>
      </c>
      <c r="J58">
        <f t="shared" si="5"/>
        <v>1</v>
      </c>
      <c r="K58">
        <v>19365.060000000001</v>
      </c>
      <c r="L58">
        <v>2378</v>
      </c>
      <c r="M58">
        <v>0</v>
      </c>
      <c r="N58">
        <v>12</v>
      </c>
      <c r="O58">
        <v>94.8</v>
      </c>
      <c r="P58">
        <v>0.2</v>
      </c>
      <c r="Q58">
        <v>0</v>
      </c>
      <c r="R58">
        <v>3.5</v>
      </c>
      <c r="S58">
        <v>518049.26</v>
      </c>
      <c r="T58">
        <v>108592.49</v>
      </c>
    </row>
    <row r="59" spans="1:20">
      <c r="A59" t="s">
        <v>36</v>
      </c>
      <c r="B59" s="2">
        <v>45689</v>
      </c>
      <c r="C59" t="s">
        <v>15</v>
      </c>
      <c r="D59">
        <f t="shared" si="0"/>
        <v>0</v>
      </c>
      <c r="E59">
        <f t="shared" si="1"/>
        <v>0</v>
      </c>
      <c r="F59">
        <f t="shared" si="2"/>
        <v>0</v>
      </c>
      <c r="G59" t="s">
        <v>21</v>
      </c>
      <c r="H59">
        <f t="shared" si="3"/>
        <v>0</v>
      </c>
      <c r="I59">
        <f t="shared" si="4"/>
        <v>0</v>
      </c>
      <c r="J59">
        <f t="shared" si="5"/>
        <v>1</v>
      </c>
      <c r="K59">
        <v>59405.68</v>
      </c>
      <c r="L59">
        <v>2515</v>
      </c>
      <c r="M59">
        <v>3.9E-2</v>
      </c>
      <c r="N59">
        <v>12</v>
      </c>
      <c r="O59">
        <v>76</v>
      </c>
      <c r="P59">
        <v>5.1100000000000003</v>
      </c>
      <c r="Q59">
        <v>0</v>
      </c>
      <c r="R59">
        <v>3.7</v>
      </c>
      <c r="S59">
        <v>500298.48</v>
      </c>
      <c r="T59">
        <v>73461.320000000007</v>
      </c>
    </row>
    <row r="60" spans="1:20">
      <c r="A60" t="s">
        <v>36</v>
      </c>
      <c r="B60" s="2">
        <v>45717</v>
      </c>
      <c r="C60" t="s">
        <v>15</v>
      </c>
      <c r="D60">
        <f t="shared" si="0"/>
        <v>0</v>
      </c>
      <c r="E60">
        <f t="shared" si="1"/>
        <v>0</v>
      </c>
      <c r="F60">
        <f t="shared" si="2"/>
        <v>0</v>
      </c>
      <c r="G60" t="s">
        <v>21</v>
      </c>
      <c r="H60">
        <f t="shared" si="3"/>
        <v>0</v>
      </c>
      <c r="I60">
        <f t="shared" si="4"/>
        <v>0</v>
      </c>
      <c r="J60">
        <f t="shared" si="5"/>
        <v>1</v>
      </c>
      <c r="K60">
        <v>118910.48</v>
      </c>
      <c r="L60">
        <v>4022</v>
      </c>
      <c r="M60">
        <v>0.13700000000000001</v>
      </c>
      <c r="N60">
        <v>11</v>
      </c>
      <c r="O60">
        <v>87.1</v>
      </c>
      <c r="P60">
        <v>0.2</v>
      </c>
      <c r="Q60">
        <v>0</v>
      </c>
      <c r="R60">
        <v>3.1</v>
      </c>
      <c r="S60">
        <v>617291.15</v>
      </c>
      <c r="T60">
        <v>117782</v>
      </c>
    </row>
    <row r="61" spans="1:20">
      <c r="A61" t="s">
        <v>36</v>
      </c>
      <c r="B61" s="2">
        <v>45748</v>
      </c>
      <c r="C61" t="s">
        <v>15</v>
      </c>
      <c r="D61">
        <f t="shared" si="0"/>
        <v>0</v>
      </c>
      <c r="E61">
        <f t="shared" si="1"/>
        <v>0</v>
      </c>
      <c r="F61">
        <f t="shared" si="2"/>
        <v>0</v>
      </c>
      <c r="G61" t="s">
        <v>21</v>
      </c>
      <c r="H61">
        <f t="shared" si="3"/>
        <v>0</v>
      </c>
      <c r="I61">
        <f t="shared" si="4"/>
        <v>0</v>
      </c>
      <c r="J61">
        <f t="shared" si="5"/>
        <v>1</v>
      </c>
      <c r="K61">
        <v>52952.12</v>
      </c>
      <c r="L61">
        <v>4377</v>
      </c>
      <c r="M61">
        <v>9.1999999999999998E-2</v>
      </c>
      <c r="N61">
        <v>14</v>
      </c>
      <c r="O61">
        <v>88.6</v>
      </c>
      <c r="P61">
        <v>13.59</v>
      </c>
      <c r="Q61">
        <v>0</v>
      </c>
      <c r="R61">
        <v>3.1</v>
      </c>
      <c r="S61">
        <v>553756.43000000005</v>
      </c>
      <c r="T61">
        <v>86166.77</v>
      </c>
    </row>
    <row r="62" spans="1:20">
      <c r="A62" t="s">
        <v>37</v>
      </c>
      <c r="B62" s="2">
        <v>45658</v>
      </c>
      <c r="C62" t="s">
        <v>24</v>
      </c>
      <c r="D62">
        <f t="shared" si="0"/>
        <v>0</v>
      </c>
      <c r="E62">
        <f t="shared" si="1"/>
        <v>1</v>
      </c>
      <c r="F62">
        <f t="shared" si="2"/>
        <v>0</v>
      </c>
      <c r="G62" t="s">
        <v>18</v>
      </c>
      <c r="H62">
        <f t="shared" si="3"/>
        <v>1</v>
      </c>
      <c r="I62">
        <f t="shared" si="4"/>
        <v>0</v>
      </c>
      <c r="J62">
        <f t="shared" si="5"/>
        <v>0</v>
      </c>
      <c r="K62">
        <v>74907.98</v>
      </c>
      <c r="L62">
        <v>5306</v>
      </c>
      <c r="M62">
        <v>6.2E-2</v>
      </c>
      <c r="N62">
        <v>16</v>
      </c>
      <c r="O62">
        <v>95.6</v>
      </c>
      <c r="P62">
        <v>1.02</v>
      </c>
      <c r="Q62">
        <v>0</v>
      </c>
      <c r="R62">
        <v>3.7</v>
      </c>
      <c r="S62">
        <v>749559.71</v>
      </c>
      <c r="T62">
        <v>144522.53</v>
      </c>
    </row>
    <row r="63" spans="1:20">
      <c r="A63" t="s">
        <v>37</v>
      </c>
      <c r="B63" s="2">
        <v>45689</v>
      </c>
      <c r="C63" t="s">
        <v>24</v>
      </c>
      <c r="D63">
        <f t="shared" si="0"/>
        <v>0</v>
      </c>
      <c r="E63">
        <f t="shared" si="1"/>
        <v>1</v>
      </c>
      <c r="F63">
        <f t="shared" si="2"/>
        <v>0</v>
      </c>
      <c r="G63" t="s">
        <v>18</v>
      </c>
      <c r="H63">
        <f t="shared" si="3"/>
        <v>1</v>
      </c>
      <c r="I63">
        <f t="shared" si="4"/>
        <v>0</v>
      </c>
      <c r="J63">
        <f t="shared" si="5"/>
        <v>0</v>
      </c>
      <c r="K63">
        <v>37284.660000000003</v>
      </c>
      <c r="L63">
        <v>3928</v>
      </c>
      <c r="M63">
        <v>7.3999999999999996E-2</v>
      </c>
      <c r="N63">
        <v>12</v>
      </c>
      <c r="O63">
        <v>86.5</v>
      </c>
      <c r="P63">
        <v>1.64</v>
      </c>
      <c r="Q63">
        <v>0</v>
      </c>
      <c r="R63">
        <v>3.8</v>
      </c>
      <c r="S63">
        <v>615966.48</v>
      </c>
      <c r="T63">
        <v>91509.38</v>
      </c>
    </row>
    <row r="64" spans="1:20">
      <c r="A64" t="s">
        <v>37</v>
      </c>
      <c r="B64" s="2">
        <v>45717</v>
      </c>
      <c r="C64" t="s">
        <v>24</v>
      </c>
      <c r="D64">
        <f t="shared" si="0"/>
        <v>0</v>
      </c>
      <c r="E64">
        <f t="shared" si="1"/>
        <v>1</v>
      </c>
      <c r="F64">
        <f t="shared" si="2"/>
        <v>0</v>
      </c>
      <c r="G64" t="s">
        <v>18</v>
      </c>
      <c r="H64">
        <f t="shared" si="3"/>
        <v>1</v>
      </c>
      <c r="I64">
        <f t="shared" si="4"/>
        <v>0</v>
      </c>
      <c r="J64">
        <f t="shared" si="5"/>
        <v>0</v>
      </c>
      <c r="K64">
        <v>50343.19</v>
      </c>
      <c r="L64">
        <v>3845</v>
      </c>
      <c r="M64">
        <v>0.113</v>
      </c>
      <c r="N64">
        <v>9</v>
      </c>
      <c r="O64">
        <v>88.7</v>
      </c>
      <c r="P64">
        <v>5.15</v>
      </c>
      <c r="Q64">
        <v>0</v>
      </c>
      <c r="R64">
        <v>3.3</v>
      </c>
      <c r="S64">
        <v>572011.19999999995</v>
      </c>
      <c r="T64">
        <v>101409.68</v>
      </c>
    </row>
    <row r="65" spans="1:20">
      <c r="A65" t="s">
        <v>37</v>
      </c>
      <c r="B65" s="2">
        <v>45748</v>
      </c>
      <c r="C65" t="s">
        <v>24</v>
      </c>
      <c r="D65">
        <f t="shared" si="0"/>
        <v>0</v>
      </c>
      <c r="E65">
        <f t="shared" si="1"/>
        <v>1</v>
      </c>
      <c r="F65">
        <f t="shared" si="2"/>
        <v>0</v>
      </c>
      <c r="G65" t="s">
        <v>18</v>
      </c>
      <c r="H65">
        <f t="shared" si="3"/>
        <v>1</v>
      </c>
      <c r="I65">
        <f t="shared" si="4"/>
        <v>0</v>
      </c>
      <c r="J65">
        <f t="shared" si="5"/>
        <v>0</v>
      </c>
      <c r="K65">
        <v>74954.47</v>
      </c>
      <c r="L65">
        <v>6620</v>
      </c>
      <c r="M65">
        <v>5.3999999999999999E-2</v>
      </c>
      <c r="N65">
        <v>17</v>
      </c>
      <c r="O65">
        <v>91.1</v>
      </c>
      <c r="P65">
        <v>1.1100000000000001</v>
      </c>
      <c r="Q65">
        <v>0</v>
      </c>
      <c r="R65">
        <v>3.5</v>
      </c>
      <c r="S65">
        <v>761860.19</v>
      </c>
      <c r="T65">
        <v>133279.38</v>
      </c>
    </row>
    <row r="66" spans="1:20">
      <c r="A66" t="s">
        <v>38</v>
      </c>
      <c r="B66" s="2">
        <v>45658</v>
      </c>
      <c r="C66" t="s">
        <v>27</v>
      </c>
      <c r="D66">
        <f t="shared" si="0"/>
        <v>0</v>
      </c>
      <c r="E66">
        <f t="shared" si="1"/>
        <v>0</v>
      </c>
      <c r="F66">
        <f t="shared" si="2"/>
        <v>1</v>
      </c>
      <c r="G66" t="s">
        <v>18</v>
      </c>
      <c r="H66">
        <f t="shared" si="3"/>
        <v>1</v>
      </c>
      <c r="I66">
        <f t="shared" si="4"/>
        <v>0</v>
      </c>
      <c r="J66">
        <f t="shared" si="5"/>
        <v>0</v>
      </c>
      <c r="K66">
        <v>70040.31</v>
      </c>
      <c r="L66">
        <v>9175</v>
      </c>
      <c r="M66">
        <v>0.107</v>
      </c>
      <c r="N66">
        <v>23</v>
      </c>
      <c r="O66">
        <v>95.1</v>
      </c>
      <c r="P66">
        <v>6.08</v>
      </c>
      <c r="Q66">
        <v>1</v>
      </c>
      <c r="R66">
        <v>3.4</v>
      </c>
      <c r="S66">
        <v>784502.68</v>
      </c>
      <c r="T66">
        <v>129519.72</v>
      </c>
    </row>
    <row r="67" spans="1:20">
      <c r="A67" t="s">
        <v>38</v>
      </c>
      <c r="B67" s="2">
        <v>45689</v>
      </c>
      <c r="C67" t="s">
        <v>27</v>
      </c>
      <c r="D67">
        <f t="shared" ref="D67:D130" si="6">IF(C67="North",1,0)</f>
        <v>0</v>
      </c>
      <c r="E67">
        <f t="shared" ref="E67:E130" si="7">IF(C67="South",1,0)</f>
        <v>0</v>
      </c>
      <c r="F67">
        <f t="shared" ref="F67:F130" si="8">IF(C67="West",1,0)</f>
        <v>1</v>
      </c>
      <c r="G67" t="s">
        <v>18</v>
      </c>
      <c r="H67">
        <f t="shared" ref="H67:H130" si="9">IF(G67="High Street",1,0)</f>
        <v>1</v>
      </c>
      <c r="I67">
        <f t="shared" ref="I67:I130" si="10">IF(G67="Residential",1,0)</f>
        <v>0</v>
      </c>
      <c r="J67">
        <f t="shared" ref="J67:J130" si="11">IF(G67="Airport",1,0)</f>
        <v>0</v>
      </c>
      <c r="K67">
        <v>51148.69</v>
      </c>
      <c r="L67">
        <v>7940</v>
      </c>
      <c r="M67">
        <v>0.156</v>
      </c>
      <c r="N67">
        <v>18</v>
      </c>
      <c r="O67">
        <v>93.3</v>
      </c>
      <c r="P67">
        <v>10.91</v>
      </c>
      <c r="Q67">
        <v>0</v>
      </c>
      <c r="R67">
        <v>3.6</v>
      </c>
      <c r="S67">
        <v>717141.55</v>
      </c>
      <c r="T67">
        <v>134013.60999999999</v>
      </c>
    </row>
    <row r="68" spans="1:20">
      <c r="A68" t="s">
        <v>38</v>
      </c>
      <c r="B68" s="2">
        <v>45717</v>
      </c>
      <c r="C68" t="s">
        <v>27</v>
      </c>
      <c r="D68">
        <f t="shared" si="6"/>
        <v>0</v>
      </c>
      <c r="E68">
        <f t="shared" si="7"/>
        <v>0</v>
      </c>
      <c r="F68">
        <f t="shared" si="8"/>
        <v>1</v>
      </c>
      <c r="G68" t="s">
        <v>18</v>
      </c>
      <c r="H68">
        <f t="shared" si="9"/>
        <v>1</v>
      </c>
      <c r="I68">
        <f t="shared" si="10"/>
        <v>0</v>
      </c>
      <c r="J68">
        <f t="shared" si="11"/>
        <v>0</v>
      </c>
      <c r="K68">
        <v>79346.100000000006</v>
      </c>
      <c r="L68">
        <v>9628</v>
      </c>
      <c r="M68">
        <v>0.10199999999999999</v>
      </c>
      <c r="N68">
        <v>20</v>
      </c>
      <c r="O68">
        <v>99</v>
      </c>
      <c r="P68">
        <v>19.010000000000002</v>
      </c>
      <c r="Q68">
        <v>1</v>
      </c>
      <c r="R68">
        <v>3.2</v>
      </c>
      <c r="S68">
        <v>685379.08</v>
      </c>
      <c r="T68">
        <v>106898.82</v>
      </c>
    </row>
    <row r="69" spans="1:20">
      <c r="A69" t="s">
        <v>38</v>
      </c>
      <c r="B69" s="2">
        <v>45748</v>
      </c>
      <c r="C69" t="s">
        <v>27</v>
      </c>
      <c r="D69">
        <f t="shared" si="6"/>
        <v>0</v>
      </c>
      <c r="E69">
        <f t="shared" si="7"/>
        <v>0</v>
      </c>
      <c r="F69">
        <f t="shared" si="8"/>
        <v>1</v>
      </c>
      <c r="G69" t="s">
        <v>18</v>
      </c>
      <c r="H69">
        <f t="shared" si="9"/>
        <v>1</v>
      </c>
      <c r="I69">
        <f t="shared" si="10"/>
        <v>0</v>
      </c>
      <c r="J69">
        <f t="shared" si="11"/>
        <v>0</v>
      </c>
      <c r="K69">
        <v>42018.400000000001</v>
      </c>
      <c r="L69">
        <v>8296</v>
      </c>
      <c r="M69">
        <v>0.115</v>
      </c>
      <c r="N69">
        <v>17</v>
      </c>
      <c r="O69">
        <v>91.8</v>
      </c>
      <c r="P69">
        <v>0.77</v>
      </c>
      <c r="Q69">
        <v>0</v>
      </c>
      <c r="R69">
        <v>3.4</v>
      </c>
      <c r="S69">
        <v>740496.65</v>
      </c>
      <c r="T69">
        <v>128020.9</v>
      </c>
    </row>
    <row r="70" spans="1:20">
      <c r="A70" t="s">
        <v>39</v>
      </c>
      <c r="B70" s="2">
        <v>45658</v>
      </c>
      <c r="C70" t="s">
        <v>15</v>
      </c>
      <c r="D70">
        <f t="shared" si="6"/>
        <v>0</v>
      </c>
      <c r="E70">
        <f t="shared" si="7"/>
        <v>0</v>
      </c>
      <c r="F70">
        <f t="shared" si="8"/>
        <v>0</v>
      </c>
      <c r="G70" t="s">
        <v>18</v>
      </c>
      <c r="H70">
        <f t="shared" si="9"/>
        <v>1</v>
      </c>
      <c r="I70">
        <f t="shared" si="10"/>
        <v>0</v>
      </c>
      <c r="J70">
        <f t="shared" si="11"/>
        <v>0</v>
      </c>
      <c r="K70">
        <v>70937.240000000005</v>
      </c>
      <c r="L70">
        <v>3595</v>
      </c>
      <c r="M70">
        <v>0.14099999999999999</v>
      </c>
      <c r="N70">
        <v>11</v>
      </c>
      <c r="O70">
        <v>88.9</v>
      </c>
      <c r="P70">
        <v>2.83</v>
      </c>
      <c r="Q70">
        <v>1</v>
      </c>
      <c r="R70">
        <v>3.3</v>
      </c>
      <c r="S70">
        <v>661927.14</v>
      </c>
      <c r="T70">
        <v>79218.570000000007</v>
      </c>
    </row>
    <row r="71" spans="1:20">
      <c r="A71" t="s">
        <v>39</v>
      </c>
      <c r="B71" s="2">
        <v>45689</v>
      </c>
      <c r="C71" t="s">
        <v>15</v>
      </c>
      <c r="D71">
        <f t="shared" si="6"/>
        <v>0</v>
      </c>
      <c r="E71">
        <f t="shared" si="7"/>
        <v>0</v>
      </c>
      <c r="F71">
        <f t="shared" si="8"/>
        <v>0</v>
      </c>
      <c r="G71" t="s">
        <v>18</v>
      </c>
      <c r="H71">
        <f t="shared" si="9"/>
        <v>1</v>
      </c>
      <c r="I71">
        <f t="shared" si="10"/>
        <v>0</v>
      </c>
      <c r="J71">
        <f t="shared" si="11"/>
        <v>0</v>
      </c>
      <c r="K71">
        <v>36813.449999999997</v>
      </c>
      <c r="L71">
        <v>2834</v>
      </c>
      <c r="M71">
        <v>0.191</v>
      </c>
      <c r="N71">
        <v>11</v>
      </c>
      <c r="O71">
        <v>81.8</v>
      </c>
      <c r="P71">
        <v>2.33</v>
      </c>
      <c r="Q71">
        <v>0</v>
      </c>
      <c r="R71">
        <v>3.3</v>
      </c>
      <c r="S71">
        <v>479050.5</v>
      </c>
      <c r="T71">
        <v>53651.11</v>
      </c>
    </row>
    <row r="72" spans="1:20">
      <c r="A72" t="s">
        <v>39</v>
      </c>
      <c r="B72" s="2">
        <v>45717</v>
      </c>
      <c r="C72" t="s">
        <v>15</v>
      </c>
      <c r="D72">
        <f t="shared" si="6"/>
        <v>0</v>
      </c>
      <c r="E72">
        <f t="shared" si="7"/>
        <v>0</v>
      </c>
      <c r="F72">
        <f t="shared" si="8"/>
        <v>0</v>
      </c>
      <c r="G72" t="s">
        <v>18</v>
      </c>
      <c r="H72">
        <f t="shared" si="9"/>
        <v>1</v>
      </c>
      <c r="I72">
        <f t="shared" si="10"/>
        <v>0</v>
      </c>
      <c r="J72">
        <f t="shared" si="11"/>
        <v>0</v>
      </c>
      <c r="K72">
        <v>60571.82</v>
      </c>
      <c r="L72">
        <v>3193</v>
      </c>
      <c r="M72">
        <v>0.19700000000000001</v>
      </c>
      <c r="N72">
        <v>7</v>
      </c>
      <c r="O72">
        <v>99</v>
      </c>
      <c r="P72">
        <v>1.43</v>
      </c>
      <c r="Q72">
        <v>0</v>
      </c>
      <c r="R72">
        <v>3.2</v>
      </c>
      <c r="S72">
        <v>605023.87</v>
      </c>
      <c r="T72">
        <v>98545.81</v>
      </c>
    </row>
    <row r="73" spans="1:20">
      <c r="A73" t="s">
        <v>39</v>
      </c>
      <c r="B73" s="2">
        <v>45748</v>
      </c>
      <c r="C73" t="s">
        <v>15</v>
      </c>
      <c r="D73">
        <f t="shared" si="6"/>
        <v>0</v>
      </c>
      <c r="E73">
        <f t="shared" si="7"/>
        <v>0</v>
      </c>
      <c r="F73">
        <f t="shared" si="8"/>
        <v>0</v>
      </c>
      <c r="G73" t="s">
        <v>18</v>
      </c>
      <c r="H73">
        <f t="shared" si="9"/>
        <v>1</v>
      </c>
      <c r="I73">
        <f t="shared" si="10"/>
        <v>0</v>
      </c>
      <c r="J73">
        <f t="shared" si="11"/>
        <v>0</v>
      </c>
      <c r="K73">
        <v>55081.16</v>
      </c>
      <c r="L73">
        <v>5485</v>
      </c>
      <c r="M73">
        <v>3.5999999999999997E-2</v>
      </c>
      <c r="N73">
        <v>12</v>
      </c>
      <c r="O73">
        <v>88</v>
      </c>
      <c r="P73">
        <v>3.3650000000000002</v>
      </c>
      <c r="Q73">
        <v>0</v>
      </c>
      <c r="R73">
        <v>3.5</v>
      </c>
      <c r="S73">
        <v>674774.09</v>
      </c>
      <c r="T73">
        <v>141917.59</v>
      </c>
    </row>
    <row r="74" spans="1:20">
      <c r="A74" t="s">
        <v>40</v>
      </c>
      <c r="B74" s="2">
        <v>45658</v>
      </c>
      <c r="C74" t="s">
        <v>15</v>
      </c>
      <c r="D74">
        <f t="shared" si="6"/>
        <v>0</v>
      </c>
      <c r="E74">
        <f t="shared" si="7"/>
        <v>0</v>
      </c>
      <c r="F74">
        <f t="shared" si="8"/>
        <v>0</v>
      </c>
      <c r="G74" t="s">
        <v>16</v>
      </c>
      <c r="H74">
        <f t="shared" si="9"/>
        <v>0</v>
      </c>
      <c r="I74">
        <f t="shared" si="10"/>
        <v>1</v>
      </c>
      <c r="J74">
        <f t="shared" si="11"/>
        <v>0</v>
      </c>
      <c r="K74">
        <v>46201.46</v>
      </c>
      <c r="L74">
        <v>5918</v>
      </c>
      <c r="M74">
        <v>0.27700000000000002</v>
      </c>
      <c r="N74">
        <v>13</v>
      </c>
      <c r="O74">
        <v>78.8</v>
      </c>
      <c r="P74">
        <v>4.91</v>
      </c>
      <c r="Q74">
        <v>0</v>
      </c>
      <c r="R74">
        <v>4.5</v>
      </c>
      <c r="S74">
        <v>616069.41</v>
      </c>
      <c r="T74">
        <v>54453.99</v>
      </c>
    </row>
    <row r="75" spans="1:20">
      <c r="A75" t="s">
        <v>40</v>
      </c>
      <c r="B75" s="2">
        <v>45689</v>
      </c>
      <c r="C75" t="s">
        <v>15</v>
      </c>
      <c r="D75">
        <f t="shared" si="6"/>
        <v>0</v>
      </c>
      <c r="E75">
        <f t="shared" si="7"/>
        <v>0</v>
      </c>
      <c r="F75">
        <f t="shared" si="8"/>
        <v>0</v>
      </c>
      <c r="G75" t="s">
        <v>16</v>
      </c>
      <c r="H75">
        <f t="shared" si="9"/>
        <v>0</v>
      </c>
      <c r="I75">
        <f t="shared" si="10"/>
        <v>1</v>
      </c>
      <c r="J75">
        <f t="shared" si="11"/>
        <v>0</v>
      </c>
      <c r="K75">
        <v>53762.92</v>
      </c>
      <c r="L75">
        <v>6821</v>
      </c>
      <c r="M75">
        <v>6.6000000000000003E-2</v>
      </c>
      <c r="N75">
        <v>19</v>
      </c>
      <c r="O75">
        <v>94.6</v>
      </c>
      <c r="P75">
        <v>7.03</v>
      </c>
      <c r="Q75">
        <v>0</v>
      </c>
      <c r="R75">
        <v>4.4000000000000004</v>
      </c>
      <c r="S75">
        <v>630829.93999999994</v>
      </c>
      <c r="T75">
        <v>117090.02</v>
      </c>
    </row>
    <row r="76" spans="1:20">
      <c r="A76" t="s">
        <v>40</v>
      </c>
      <c r="B76" s="2">
        <v>45717</v>
      </c>
      <c r="C76" t="s">
        <v>15</v>
      </c>
      <c r="D76">
        <f t="shared" si="6"/>
        <v>0</v>
      </c>
      <c r="E76">
        <f t="shared" si="7"/>
        <v>0</v>
      </c>
      <c r="F76">
        <f t="shared" si="8"/>
        <v>0</v>
      </c>
      <c r="G76" t="s">
        <v>16</v>
      </c>
      <c r="H76">
        <f t="shared" si="9"/>
        <v>0</v>
      </c>
      <c r="I76">
        <f t="shared" si="10"/>
        <v>1</v>
      </c>
      <c r="J76">
        <f t="shared" si="11"/>
        <v>0</v>
      </c>
      <c r="K76">
        <v>70144.78</v>
      </c>
      <c r="L76">
        <v>6806</v>
      </c>
      <c r="M76">
        <v>0.17799999999999999</v>
      </c>
      <c r="N76">
        <v>20</v>
      </c>
      <c r="O76">
        <v>93.1</v>
      </c>
      <c r="P76">
        <v>0.28000000000000003</v>
      </c>
      <c r="Q76">
        <v>1</v>
      </c>
      <c r="R76">
        <v>4.3</v>
      </c>
      <c r="S76">
        <v>788087.68</v>
      </c>
      <c r="T76">
        <v>116803.42</v>
      </c>
    </row>
    <row r="77" spans="1:20">
      <c r="A77" t="s">
        <v>40</v>
      </c>
      <c r="B77" s="2">
        <v>45748</v>
      </c>
      <c r="C77" t="s">
        <v>15</v>
      </c>
      <c r="D77">
        <f t="shared" si="6"/>
        <v>0</v>
      </c>
      <c r="E77">
        <f t="shared" si="7"/>
        <v>0</v>
      </c>
      <c r="F77">
        <f t="shared" si="8"/>
        <v>0</v>
      </c>
      <c r="G77" t="s">
        <v>16</v>
      </c>
      <c r="H77">
        <f t="shared" si="9"/>
        <v>0</v>
      </c>
      <c r="I77">
        <f t="shared" si="10"/>
        <v>1</v>
      </c>
      <c r="J77">
        <f t="shared" si="11"/>
        <v>0</v>
      </c>
      <c r="K77">
        <v>58749.63</v>
      </c>
      <c r="L77">
        <v>8252</v>
      </c>
      <c r="M77">
        <v>0.20300000000000001</v>
      </c>
      <c r="N77">
        <v>20</v>
      </c>
      <c r="O77">
        <v>85.2</v>
      </c>
      <c r="P77">
        <v>3.61</v>
      </c>
      <c r="Q77">
        <v>0</v>
      </c>
      <c r="R77">
        <v>4.5</v>
      </c>
      <c r="S77">
        <v>680840.36</v>
      </c>
      <c r="T77">
        <v>68007.679999999993</v>
      </c>
    </row>
    <row r="78" spans="1:20">
      <c r="A78" t="s">
        <v>41</v>
      </c>
      <c r="B78" s="2">
        <v>45658</v>
      </c>
      <c r="C78" t="s">
        <v>24</v>
      </c>
      <c r="D78">
        <f t="shared" si="6"/>
        <v>0</v>
      </c>
      <c r="E78">
        <f t="shared" si="7"/>
        <v>1</v>
      </c>
      <c r="F78">
        <f t="shared" si="8"/>
        <v>0</v>
      </c>
      <c r="G78" t="s">
        <v>18</v>
      </c>
      <c r="H78">
        <f t="shared" si="9"/>
        <v>1</v>
      </c>
      <c r="I78">
        <f t="shared" si="10"/>
        <v>0</v>
      </c>
      <c r="J78">
        <f t="shared" si="11"/>
        <v>0</v>
      </c>
      <c r="K78">
        <v>56973.18</v>
      </c>
      <c r="L78">
        <v>6662</v>
      </c>
      <c r="M78">
        <v>0.1</v>
      </c>
      <c r="N78">
        <v>15</v>
      </c>
      <c r="O78">
        <v>77.7</v>
      </c>
      <c r="P78">
        <v>7.52</v>
      </c>
      <c r="Q78">
        <v>1</v>
      </c>
      <c r="R78">
        <v>3.2</v>
      </c>
      <c r="S78">
        <v>643657.47</v>
      </c>
      <c r="T78">
        <v>87022.45</v>
      </c>
    </row>
    <row r="79" spans="1:20">
      <c r="A79" t="s">
        <v>41</v>
      </c>
      <c r="B79" s="2">
        <v>45689</v>
      </c>
      <c r="C79" t="s">
        <v>24</v>
      </c>
      <c r="D79">
        <f t="shared" si="6"/>
        <v>0</v>
      </c>
      <c r="E79">
        <f t="shared" si="7"/>
        <v>1</v>
      </c>
      <c r="F79">
        <f t="shared" si="8"/>
        <v>0</v>
      </c>
      <c r="G79" t="s">
        <v>18</v>
      </c>
      <c r="H79">
        <f t="shared" si="9"/>
        <v>1</v>
      </c>
      <c r="I79">
        <f t="shared" si="10"/>
        <v>0</v>
      </c>
      <c r="J79">
        <f t="shared" si="11"/>
        <v>0</v>
      </c>
      <c r="K79">
        <v>54872.82</v>
      </c>
      <c r="L79">
        <v>5962</v>
      </c>
      <c r="M79">
        <v>6.4000000000000001E-2</v>
      </c>
      <c r="N79">
        <v>12</v>
      </c>
      <c r="O79">
        <v>85.4</v>
      </c>
      <c r="P79">
        <v>2.58</v>
      </c>
      <c r="Q79">
        <v>0</v>
      </c>
      <c r="R79">
        <v>2.9</v>
      </c>
      <c r="S79">
        <v>691112.6</v>
      </c>
      <c r="T79">
        <v>109212.83</v>
      </c>
    </row>
    <row r="80" spans="1:20">
      <c r="A80" t="s">
        <v>41</v>
      </c>
      <c r="B80" s="2">
        <v>45717</v>
      </c>
      <c r="C80" t="s">
        <v>24</v>
      </c>
      <c r="D80">
        <f t="shared" si="6"/>
        <v>0</v>
      </c>
      <c r="E80">
        <f t="shared" si="7"/>
        <v>1</v>
      </c>
      <c r="F80">
        <f t="shared" si="8"/>
        <v>0</v>
      </c>
      <c r="G80" t="s">
        <v>18</v>
      </c>
      <c r="H80">
        <f t="shared" si="9"/>
        <v>1</v>
      </c>
      <c r="I80">
        <f t="shared" si="10"/>
        <v>0</v>
      </c>
      <c r="J80">
        <f t="shared" si="11"/>
        <v>0</v>
      </c>
      <c r="K80">
        <v>80562.81</v>
      </c>
      <c r="L80">
        <v>7470</v>
      </c>
      <c r="M80">
        <v>0.17199999999999999</v>
      </c>
      <c r="N80">
        <v>16</v>
      </c>
      <c r="O80">
        <v>83.5</v>
      </c>
      <c r="P80">
        <v>2.29</v>
      </c>
      <c r="Q80">
        <v>0</v>
      </c>
      <c r="R80">
        <v>3.3</v>
      </c>
      <c r="S80">
        <v>776922.17</v>
      </c>
      <c r="T80">
        <v>150701.93</v>
      </c>
    </row>
    <row r="81" spans="1:20">
      <c r="A81" t="s">
        <v>41</v>
      </c>
      <c r="B81" s="2">
        <v>45748</v>
      </c>
      <c r="C81" t="s">
        <v>24</v>
      </c>
      <c r="D81">
        <f t="shared" si="6"/>
        <v>0</v>
      </c>
      <c r="E81">
        <f t="shared" si="7"/>
        <v>1</v>
      </c>
      <c r="F81">
        <f t="shared" si="8"/>
        <v>0</v>
      </c>
      <c r="G81" t="s">
        <v>18</v>
      </c>
      <c r="H81">
        <f t="shared" si="9"/>
        <v>1</v>
      </c>
      <c r="I81">
        <f t="shared" si="10"/>
        <v>0</v>
      </c>
      <c r="J81">
        <f t="shared" si="11"/>
        <v>0</v>
      </c>
      <c r="K81">
        <v>77999.899999999994</v>
      </c>
      <c r="L81">
        <v>5974</v>
      </c>
      <c r="M81">
        <v>0.252</v>
      </c>
      <c r="N81">
        <v>14</v>
      </c>
      <c r="O81">
        <v>81.3</v>
      </c>
      <c r="P81">
        <v>2.39</v>
      </c>
      <c r="Q81">
        <v>0</v>
      </c>
      <c r="R81">
        <v>3.2</v>
      </c>
      <c r="S81">
        <v>636561.34</v>
      </c>
      <c r="T81">
        <v>93861.06</v>
      </c>
    </row>
    <row r="82" spans="1:20">
      <c r="A82" t="s">
        <v>42</v>
      </c>
      <c r="B82" s="2">
        <v>45658</v>
      </c>
      <c r="C82" t="s">
        <v>27</v>
      </c>
      <c r="D82">
        <f t="shared" si="6"/>
        <v>0</v>
      </c>
      <c r="E82">
        <f t="shared" si="7"/>
        <v>0</v>
      </c>
      <c r="F82">
        <f t="shared" si="8"/>
        <v>1</v>
      </c>
      <c r="G82" t="s">
        <v>28</v>
      </c>
      <c r="H82">
        <f t="shared" si="9"/>
        <v>0</v>
      </c>
      <c r="I82">
        <f t="shared" si="10"/>
        <v>0</v>
      </c>
      <c r="J82">
        <f t="shared" si="11"/>
        <v>0</v>
      </c>
      <c r="K82">
        <v>60881.01</v>
      </c>
      <c r="L82">
        <v>5410</v>
      </c>
      <c r="M82">
        <v>0.17899999999999999</v>
      </c>
      <c r="N82">
        <v>15</v>
      </c>
      <c r="O82">
        <v>83.9</v>
      </c>
      <c r="P82">
        <v>5.24</v>
      </c>
      <c r="Q82">
        <v>0</v>
      </c>
      <c r="R82">
        <v>4.5999999999999996</v>
      </c>
      <c r="S82">
        <v>621369.57999999996</v>
      </c>
      <c r="T82">
        <v>85493.64</v>
      </c>
    </row>
    <row r="83" spans="1:20">
      <c r="A83" t="s">
        <v>42</v>
      </c>
      <c r="B83" s="2">
        <v>45689</v>
      </c>
      <c r="C83" t="s">
        <v>27</v>
      </c>
      <c r="D83">
        <f t="shared" si="6"/>
        <v>0</v>
      </c>
      <c r="E83">
        <f t="shared" si="7"/>
        <v>0</v>
      </c>
      <c r="F83">
        <f t="shared" si="8"/>
        <v>1</v>
      </c>
      <c r="G83" t="s">
        <v>28</v>
      </c>
      <c r="H83">
        <f t="shared" si="9"/>
        <v>0</v>
      </c>
      <c r="I83">
        <f t="shared" si="10"/>
        <v>0</v>
      </c>
      <c r="J83">
        <f t="shared" si="11"/>
        <v>0</v>
      </c>
      <c r="K83">
        <v>60628.38</v>
      </c>
      <c r="L83">
        <v>4451</v>
      </c>
      <c r="M83">
        <v>9.5000000000000001E-2</v>
      </c>
      <c r="N83">
        <v>10</v>
      </c>
      <c r="O83">
        <v>89.6</v>
      </c>
      <c r="P83">
        <v>3.17</v>
      </c>
      <c r="Q83">
        <v>0</v>
      </c>
      <c r="R83">
        <v>4.5999999999999996</v>
      </c>
      <c r="S83">
        <v>682208.01</v>
      </c>
      <c r="T83">
        <v>110318.84</v>
      </c>
    </row>
    <row r="84" spans="1:20">
      <c r="A84" t="s">
        <v>42</v>
      </c>
      <c r="B84" s="2">
        <v>45717</v>
      </c>
      <c r="C84" t="s">
        <v>27</v>
      </c>
      <c r="D84">
        <f t="shared" si="6"/>
        <v>0</v>
      </c>
      <c r="E84">
        <f t="shared" si="7"/>
        <v>0</v>
      </c>
      <c r="F84">
        <f t="shared" si="8"/>
        <v>1</v>
      </c>
      <c r="G84" t="s">
        <v>28</v>
      </c>
      <c r="H84">
        <f t="shared" si="9"/>
        <v>0</v>
      </c>
      <c r="I84">
        <f t="shared" si="10"/>
        <v>0</v>
      </c>
      <c r="J84">
        <f t="shared" si="11"/>
        <v>0</v>
      </c>
      <c r="K84">
        <v>72731.14</v>
      </c>
      <c r="L84">
        <v>4644</v>
      </c>
      <c r="M84">
        <v>8.4000000000000005E-2</v>
      </c>
      <c r="N84">
        <v>15</v>
      </c>
      <c r="O84">
        <v>87.1</v>
      </c>
      <c r="P84">
        <v>2.66</v>
      </c>
      <c r="Q84">
        <v>0</v>
      </c>
      <c r="R84">
        <v>4.5999999999999996</v>
      </c>
      <c r="S84">
        <v>727241.86</v>
      </c>
      <c r="T84">
        <v>155810.29999999999</v>
      </c>
    </row>
    <row r="85" spans="1:20">
      <c r="A85" t="s">
        <v>42</v>
      </c>
      <c r="B85" s="2">
        <v>45748</v>
      </c>
      <c r="C85" t="s">
        <v>27</v>
      </c>
      <c r="D85">
        <f t="shared" si="6"/>
        <v>0</v>
      </c>
      <c r="E85">
        <f t="shared" si="7"/>
        <v>0</v>
      </c>
      <c r="F85">
        <f t="shared" si="8"/>
        <v>1</v>
      </c>
      <c r="G85" t="s">
        <v>28</v>
      </c>
      <c r="H85">
        <f t="shared" si="9"/>
        <v>0</v>
      </c>
      <c r="I85">
        <f t="shared" si="10"/>
        <v>0</v>
      </c>
      <c r="J85">
        <f t="shared" si="11"/>
        <v>0</v>
      </c>
      <c r="K85">
        <v>36475.71</v>
      </c>
      <c r="L85">
        <v>3559</v>
      </c>
      <c r="M85">
        <v>0.03</v>
      </c>
      <c r="N85">
        <v>8</v>
      </c>
      <c r="O85">
        <v>83.6</v>
      </c>
      <c r="P85">
        <v>1.41</v>
      </c>
      <c r="Q85">
        <v>0</v>
      </c>
      <c r="R85">
        <v>4.2</v>
      </c>
      <c r="S85">
        <v>569100.78</v>
      </c>
      <c r="T85">
        <v>104808.78</v>
      </c>
    </row>
    <row r="86" spans="1:20">
      <c r="A86" t="s">
        <v>43</v>
      </c>
      <c r="B86" s="2">
        <v>45658</v>
      </c>
      <c r="C86" t="s">
        <v>27</v>
      </c>
      <c r="D86">
        <f t="shared" si="6"/>
        <v>0</v>
      </c>
      <c r="E86">
        <f t="shared" si="7"/>
        <v>0</v>
      </c>
      <c r="F86">
        <f t="shared" si="8"/>
        <v>1</v>
      </c>
      <c r="G86" t="s">
        <v>18</v>
      </c>
      <c r="H86">
        <f t="shared" si="9"/>
        <v>1</v>
      </c>
      <c r="I86">
        <f t="shared" si="10"/>
        <v>0</v>
      </c>
      <c r="J86">
        <f t="shared" si="11"/>
        <v>0</v>
      </c>
      <c r="K86">
        <v>55388.11</v>
      </c>
      <c r="L86">
        <v>3091</v>
      </c>
      <c r="M86">
        <v>0.108</v>
      </c>
      <c r="N86">
        <v>7</v>
      </c>
      <c r="O86">
        <v>85.4</v>
      </c>
      <c r="P86">
        <v>7.34</v>
      </c>
      <c r="Q86">
        <v>0</v>
      </c>
      <c r="R86">
        <v>4.9000000000000004</v>
      </c>
      <c r="S86">
        <v>574436.29</v>
      </c>
      <c r="T86">
        <v>80271.990000000005</v>
      </c>
    </row>
    <row r="87" spans="1:20">
      <c r="A87" t="s">
        <v>43</v>
      </c>
      <c r="B87" s="2">
        <v>45689</v>
      </c>
      <c r="C87" t="s">
        <v>27</v>
      </c>
      <c r="D87">
        <f t="shared" si="6"/>
        <v>0</v>
      </c>
      <c r="E87">
        <f t="shared" si="7"/>
        <v>0</v>
      </c>
      <c r="F87">
        <f t="shared" si="8"/>
        <v>1</v>
      </c>
      <c r="G87" t="s">
        <v>18</v>
      </c>
      <c r="H87">
        <f t="shared" si="9"/>
        <v>1</v>
      </c>
      <c r="I87">
        <f t="shared" si="10"/>
        <v>0</v>
      </c>
      <c r="J87">
        <f t="shared" si="11"/>
        <v>0</v>
      </c>
      <c r="K87">
        <v>88443.77</v>
      </c>
      <c r="L87">
        <v>4004</v>
      </c>
      <c r="M87">
        <v>0.20599999999999999</v>
      </c>
      <c r="N87">
        <v>11</v>
      </c>
      <c r="O87">
        <v>91.9</v>
      </c>
      <c r="P87">
        <v>5.95</v>
      </c>
      <c r="Q87">
        <v>0</v>
      </c>
      <c r="R87">
        <v>3.92</v>
      </c>
      <c r="S87">
        <v>611766.72</v>
      </c>
      <c r="T87">
        <v>88275.61</v>
      </c>
    </row>
    <row r="88" spans="1:20">
      <c r="A88" t="s">
        <v>43</v>
      </c>
      <c r="B88" s="2">
        <v>45717</v>
      </c>
      <c r="C88" t="s">
        <v>27</v>
      </c>
      <c r="D88">
        <f t="shared" si="6"/>
        <v>0</v>
      </c>
      <c r="E88">
        <f t="shared" si="7"/>
        <v>0</v>
      </c>
      <c r="F88">
        <f t="shared" si="8"/>
        <v>1</v>
      </c>
      <c r="G88" t="s">
        <v>18</v>
      </c>
      <c r="H88">
        <f t="shared" si="9"/>
        <v>1</v>
      </c>
      <c r="I88">
        <f t="shared" si="10"/>
        <v>0</v>
      </c>
      <c r="J88">
        <f t="shared" si="11"/>
        <v>0</v>
      </c>
      <c r="K88">
        <v>78231.91</v>
      </c>
      <c r="L88">
        <v>3788</v>
      </c>
      <c r="M88">
        <v>5.8999999999999997E-2</v>
      </c>
      <c r="N88">
        <v>11</v>
      </c>
      <c r="O88">
        <v>88.5</v>
      </c>
      <c r="P88">
        <v>15.51</v>
      </c>
      <c r="Q88">
        <v>0</v>
      </c>
      <c r="R88">
        <v>4.3</v>
      </c>
      <c r="S88">
        <v>614596.31999999995</v>
      </c>
      <c r="T88">
        <v>131199.41</v>
      </c>
    </row>
    <row r="89" spans="1:20">
      <c r="A89" t="s">
        <v>43</v>
      </c>
      <c r="B89" s="2">
        <v>45748</v>
      </c>
      <c r="C89" t="s">
        <v>27</v>
      </c>
      <c r="D89">
        <f t="shared" si="6"/>
        <v>0</v>
      </c>
      <c r="E89">
        <f t="shared" si="7"/>
        <v>0</v>
      </c>
      <c r="F89">
        <f t="shared" si="8"/>
        <v>1</v>
      </c>
      <c r="G89" t="s">
        <v>18</v>
      </c>
      <c r="H89">
        <f t="shared" si="9"/>
        <v>1</v>
      </c>
      <c r="I89">
        <f t="shared" si="10"/>
        <v>0</v>
      </c>
      <c r="J89">
        <f t="shared" si="11"/>
        <v>0</v>
      </c>
      <c r="K89">
        <v>18996.32</v>
      </c>
      <c r="L89">
        <v>1260</v>
      </c>
      <c r="M89">
        <v>0.14499999999999999</v>
      </c>
      <c r="N89">
        <v>9</v>
      </c>
      <c r="O89">
        <v>86.4</v>
      </c>
      <c r="P89">
        <v>4.3099999999999996</v>
      </c>
      <c r="Q89">
        <v>0</v>
      </c>
      <c r="R89">
        <v>4.5999999999999996</v>
      </c>
      <c r="S89">
        <v>450711.92</v>
      </c>
      <c r="T89">
        <v>90043.76</v>
      </c>
    </row>
    <row r="90" spans="1:20">
      <c r="A90" t="s">
        <v>44</v>
      </c>
      <c r="B90" s="2">
        <v>45658</v>
      </c>
      <c r="C90" t="s">
        <v>24</v>
      </c>
      <c r="D90">
        <f t="shared" si="6"/>
        <v>0</v>
      </c>
      <c r="E90">
        <f t="shared" si="7"/>
        <v>1</v>
      </c>
      <c r="F90">
        <f t="shared" si="8"/>
        <v>0</v>
      </c>
      <c r="G90" t="s">
        <v>28</v>
      </c>
      <c r="H90">
        <f t="shared" si="9"/>
        <v>0</v>
      </c>
      <c r="I90">
        <f t="shared" si="10"/>
        <v>0</v>
      </c>
      <c r="J90">
        <f t="shared" si="11"/>
        <v>0</v>
      </c>
      <c r="K90">
        <v>50517.94</v>
      </c>
      <c r="L90">
        <v>7024</v>
      </c>
      <c r="M90">
        <v>2.9000000000000001E-2</v>
      </c>
      <c r="N90">
        <v>18</v>
      </c>
      <c r="O90">
        <v>79.2</v>
      </c>
      <c r="P90">
        <v>6.61</v>
      </c>
      <c r="Q90">
        <v>1</v>
      </c>
      <c r="R90">
        <v>4.0999999999999996</v>
      </c>
      <c r="S90">
        <v>711213.46</v>
      </c>
      <c r="T90">
        <v>105863.26</v>
      </c>
    </row>
    <row r="91" spans="1:20">
      <c r="A91" t="s">
        <v>44</v>
      </c>
      <c r="B91" s="2">
        <v>45689</v>
      </c>
      <c r="C91" t="s">
        <v>24</v>
      </c>
      <c r="D91">
        <f t="shared" si="6"/>
        <v>0</v>
      </c>
      <c r="E91">
        <f t="shared" si="7"/>
        <v>1</v>
      </c>
      <c r="F91">
        <f t="shared" si="8"/>
        <v>0</v>
      </c>
      <c r="G91" t="s">
        <v>28</v>
      </c>
      <c r="H91">
        <f t="shared" si="9"/>
        <v>0</v>
      </c>
      <c r="I91">
        <f t="shared" si="10"/>
        <v>0</v>
      </c>
      <c r="J91">
        <f t="shared" si="11"/>
        <v>0</v>
      </c>
      <c r="K91">
        <v>141540.29</v>
      </c>
      <c r="L91">
        <v>5400</v>
      </c>
      <c r="M91">
        <v>1.2999999999999999E-2</v>
      </c>
      <c r="N91">
        <v>12</v>
      </c>
      <c r="O91">
        <v>87</v>
      </c>
      <c r="P91">
        <v>4.26</v>
      </c>
      <c r="Q91">
        <v>0</v>
      </c>
      <c r="R91">
        <v>4.5</v>
      </c>
      <c r="S91">
        <v>627171.9</v>
      </c>
      <c r="T91">
        <v>105772.75</v>
      </c>
    </row>
    <row r="92" spans="1:20">
      <c r="A92" t="s">
        <v>44</v>
      </c>
      <c r="B92" s="2">
        <v>45717</v>
      </c>
      <c r="C92" t="s">
        <v>24</v>
      </c>
      <c r="D92">
        <f t="shared" si="6"/>
        <v>0</v>
      </c>
      <c r="E92">
        <f t="shared" si="7"/>
        <v>1</v>
      </c>
      <c r="F92">
        <f t="shared" si="8"/>
        <v>0</v>
      </c>
      <c r="G92" t="s">
        <v>28</v>
      </c>
      <c r="H92">
        <f t="shared" si="9"/>
        <v>0</v>
      </c>
      <c r="I92">
        <f t="shared" si="10"/>
        <v>0</v>
      </c>
      <c r="J92">
        <f t="shared" si="11"/>
        <v>0</v>
      </c>
      <c r="K92">
        <v>82116.19</v>
      </c>
      <c r="L92">
        <v>5988</v>
      </c>
      <c r="M92">
        <v>0.04</v>
      </c>
      <c r="N92">
        <v>17</v>
      </c>
      <c r="O92">
        <v>91.8</v>
      </c>
      <c r="P92">
        <v>5.75</v>
      </c>
      <c r="Q92">
        <v>0</v>
      </c>
      <c r="R92">
        <v>4.7</v>
      </c>
      <c r="S92">
        <v>739852.58</v>
      </c>
      <c r="T92">
        <v>129386.43</v>
      </c>
    </row>
    <row r="93" spans="1:20">
      <c r="A93" t="s">
        <v>44</v>
      </c>
      <c r="B93" s="2">
        <v>45748</v>
      </c>
      <c r="C93" t="s">
        <v>24</v>
      </c>
      <c r="D93">
        <f t="shared" si="6"/>
        <v>0</v>
      </c>
      <c r="E93">
        <f t="shared" si="7"/>
        <v>1</v>
      </c>
      <c r="F93">
        <f t="shared" si="8"/>
        <v>0</v>
      </c>
      <c r="G93" t="s">
        <v>28</v>
      </c>
      <c r="H93">
        <f t="shared" si="9"/>
        <v>0</v>
      </c>
      <c r="I93">
        <f t="shared" si="10"/>
        <v>0</v>
      </c>
      <c r="J93">
        <f t="shared" si="11"/>
        <v>0</v>
      </c>
      <c r="K93">
        <v>31207.51</v>
      </c>
      <c r="L93">
        <v>3701</v>
      </c>
      <c r="M93">
        <v>4.2999999999999997E-2</v>
      </c>
      <c r="N93">
        <v>11</v>
      </c>
      <c r="O93">
        <v>84.7</v>
      </c>
      <c r="P93">
        <v>0.33</v>
      </c>
      <c r="Q93">
        <v>0</v>
      </c>
      <c r="R93">
        <v>4.3</v>
      </c>
      <c r="S93">
        <v>586307.22</v>
      </c>
      <c r="T93">
        <v>73927.850000000006</v>
      </c>
    </row>
    <row r="94" spans="1:20">
      <c r="A94" t="s">
        <v>45</v>
      </c>
      <c r="B94" s="2">
        <v>45658</v>
      </c>
      <c r="C94" t="s">
        <v>27</v>
      </c>
      <c r="D94">
        <f t="shared" si="6"/>
        <v>0</v>
      </c>
      <c r="E94">
        <f t="shared" si="7"/>
        <v>0</v>
      </c>
      <c r="F94">
        <f t="shared" si="8"/>
        <v>1</v>
      </c>
      <c r="G94" t="s">
        <v>16</v>
      </c>
      <c r="H94">
        <f t="shared" si="9"/>
        <v>0</v>
      </c>
      <c r="I94">
        <f t="shared" si="10"/>
        <v>1</v>
      </c>
      <c r="J94">
        <f t="shared" si="11"/>
        <v>0</v>
      </c>
      <c r="K94">
        <v>38966.589999999997</v>
      </c>
      <c r="L94">
        <v>4509</v>
      </c>
      <c r="M94">
        <v>0.19400000000000001</v>
      </c>
      <c r="N94">
        <v>14</v>
      </c>
      <c r="O94">
        <v>91.1</v>
      </c>
      <c r="P94">
        <v>2.92</v>
      </c>
      <c r="Q94">
        <v>0</v>
      </c>
      <c r="R94">
        <v>4.5999999999999996</v>
      </c>
      <c r="S94">
        <v>585937.48</v>
      </c>
      <c r="T94">
        <v>82624.2</v>
      </c>
    </row>
    <row r="95" spans="1:20">
      <c r="A95" t="s">
        <v>45</v>
      </c>
      <c r="B95" s="2">
        <v>45689</v>
      </c>
      <c r="C95" t="s">
        <v>27</v>
      </c>
      <c r="D95">
        <f t="shared" si="6"/>
        <v>0</v>
      </c>
      <c r="E95">
        <f t="shared" si="7"/>
        <v>0</v>
      </c>
      <c r="F95">
        <f t="shared" si="8"/>
        <v>1</v>
      </c>
      <c r="G95" t="s">
        <v>16</v>
      </c>
      <c r="H95">
        <f t="shared" si="9"/>
        <v>0</v>
      </c>
      <c r="I95">
        <f t="shared" si="10"/>
        <v>1</v>
      </c>
      <c r="J95">
        <f t="shared" si="11"/>
        <v>0</v>
      </c>
      <c r="K95">
        <v>67439.3</v>
      </c>
      <c r="L95">
        <v>6477</v>
      </c>
      <c r="M95">
        <v>0</v>
      </c>
      <c r="N95">
        <v>16</v>
      </c>
      <c r="O95">
        <v>90.9</v>
      </c>
      <c r="P95">
        <v>1.64</v>
      </c>
      <c r="Q95">
        <v>0</v>
      </c>
      <c r="R95">
        <v>4.5</v>
      </c>
      <c r="S95">
        <v>753473.55</v>
      </c>
      <c r="T95">
        <v>151527.22</v>
      </c>
    </row>
    <row r="96" spans="1:20">
      <c r="A96" t="s">
        <v>45</v>
      </c>
      <c r="B96" s="2">
        <v>45717</v>
      </c>
      <c r="C96" t="s">
        <v>27</v>
      </c>
      <c r="D96">
        <f t="shared" si="6"/>
        <v>0</v>
      </c>
      <c r="E96">
        <f t="shared" si="7"/>
        <v>0</v>
      </c>
      <c r="F96">
        <f t="shared" si="8"/>
        <v>1</v>
      </c>
      <c r="G96" t="s">
        <v>16</v>
      </c>
      <c r="H96">
        <f t="shared" si="9"/>
        <v>0</v>
      </c>
      <c r="I96">
        <f t="shared" si="10"/>
        <v>1</v>
      </c>
      <c r="J96">
        <f t="shared" si="11"/>
        <v>0</v>
      </c>
      <c r="K96">
        <v>86421.88</v>
      </c>
      <c r="L96">
        <v>7970</v>
      </c>
      <c r="M96">
        <v>7.2999999999999995E-2</v>
      </c>
      <c r="N96">
        <v>17</v>
      </c>
      <c r="O96">
        <v>91.3</v>
      </c>
      <c r="P96">
        <v>0.8</v>
      </c>
      <c r="Q96">
        <v>0</v>
      </c>
      <c r="R96">
        <v>5</v>
      </c>
      <c r="S96">
        <v>838250.32</v>
      </c>
      <c r="T96">
        <v>122939.34</v>
      </c>
    </row>
    <row r="97" spans="1:20">
      <c r="A97" t="s">
        <v>45</v>
      </c>
      <c r="B97" s="2">
        <v>45748</v>
      </c>
      <c r="C97" t="s">
        <v>27</v>
      </c>
      <c r="D97">
        <f t="shared" si="6"/>
        <v>0</v>
      </c>
      <c r="E97">
        <f t="shared" si="7"/>
        <v>0</v>
      </c>
      <c r="F97">
        <f t="shared" si="8"/>
        <v>1</v>
      </c>
      <c r="G97" t="s">
        <v>16</v>
      </c>
      <c r="H97">
        <f t="shared" si="9"/>
        <v>0</v>
      </c>
      <c r="I97">
        <f t="shared" si="10"/>
        <v>1</v>
      </c>
      <c r="J97">
        <f t="shared" si="11"/>
        <v>0</v>
      </c>
      <c r="K97">
        <v>9534.65</v>
      </c>
      <c r="L97">
        <v>6057</v>
      </c>
      <c r="M97">
        <v>7.3999999999999996E-2</v>
      </c>
      <c r="N97">
        <v>15</v>
      </c>
      <c r="O97">
        <v>94.1</v>
      </c>
      <c r="P97">
        <v>5.79</v>
      </c>
      <c r="Q97">
        <v>0</v>
      </c>
      <c r="R97">
        <v>4.5</v>
      </c>
      <c r="S97">
        <v>607898.12</v>
      </c>
      <c r="T97">
        <v>135404.85</v>
      </c>
    </row>
    <row r="98" spans="1:20">
      <c r="A98" t="s">
        <v>46</v>
      </c>
      <c r="B98" s="2">
        <v>45658</v>
      </c>
      <c r="C98" t="s">
        <v>27</v>
      </c>
      <c r="D98">
        <f t="shared" si="6"/>
        <v>0</v>
      </c>
      <c r="E98">
        <f t="shared" si="7"/>
        <v>0</v>
      </c>
      <c r="F98">
        <f t="shared" si="8"/>
        <v>1</v>
      </c>
      <c r="G98" t="s">
        <v>28</v>
      </c>
      <c r="H98">
        <f t="shared" si="9"/>
        <v>0</v>
      </c>
      <c r="I98">
        <f t="shared" si="10"/>
        <v>0</v>
      </c>
      <c r="J98">
        <f t="shared" si="11"/>
        <v>0</v>
      </c>
      <c r="K98">
        <v>61132.07</v>
      </c>
      <c r="L98">
        <v>6394</v>
      </c>
      <c r="M98">
        <v>0.16300000000000001</v>
      </c>
      <c r="N98">
        <v>19</v>
      </c>
      <c r="O98">
        <v>91</v>
      </c>
      <c r="P98">
        <v>19.600000000000001</v>
      </c>
      <c r="Q98">
        <v>0</v>
      </c>
      <c r="R98">
        <v>4.4000000000000004</v>
      </c>
      <c r="S98">
        <v>691113.62</v>
      </c>
      <c r="T98">
        <v>135145.44</v>
      </c>
    </row>
    <row r="99" spans="1:20">
      <c r="A99" t="s">
        <v>46</v>
      </c>
      <c r="B99" s="2">
        <v>45689</v>
      </c>
      <c r="C99" t="s">
        <v>27</v>
      </c>
      <c r="D99">
        <f t="shared" si="6"/>
        <v>0</v>
      </c>
      <c r="E99">
        <f t="shared" si="7"/>
        <v>0</v>
      </c>
      <c r="F99">
        <f t="shared" si="8"/>
        <v>1</v>
      </c>
      <c r="G99" t="s">
        <v>28</v>
      </c>
      <c r="H99">
        <f t="shared" si="9"/>
        <v>0</v>
      </c>
      <c r="I99">
        <f t="shared" si="10"/>
        <v>0</v>
      </c>
      <c r="J99">
        <f t="shared" si="11"/>
        <v>0</v>
      </c>
      <c r="K99">
        <v>78839.39</v>
      </c>
      <c r="L99">
        <v>5150</v>
      </c>
      <c r="M99">
        <v>0.17100000000000001</v>
      </c>
      <c r="N99">
        <v>13</v>
      </c>
      <c r="O99">
        <v>85.8</v>
      </c>
      <c r="P99">
        <v>7.57</v>
      </c>
      <c r="Q99">
        <v>0</v>
      </c>
      <c r="R99">
        <v>4.3</v>
      </c>
      <c r="S99">
        <v>735509.4</v>
      </c>
      <c r="T99">
        <v>83895.96</v>
      </c>
    </row>
    <row r="100" spans="1:20">
      <c r="A100" t="s">
        <v>46</v>
      </c>
      <c r="B100" s="2">
        <v>45717</v>
      </c>
      <c r="C100" t="s">
        <v>27</v>
      </c>
      <c r="D100">
        <f t="shared" si="6"/>
        <v>0</v>
      </c>
      <c r="E100">
        <f t="shared" si="7"/>
        <v>0</v>
      </c>
      <c r="F100">
        <f t="shared" si="8"/>
        <v>1</v>
      </c>
      <c r="G100" t="s">
        <v>28</v>
      </c>
      <c r="H100">
        <f t="shared" si="9"/>
        <v>0</v>
      </c>
      <c r="I100">
        <f t="shared" si="10"/>
        <v>0</v>
      </c>
      <c r="J100">
        <f t="shared" si="11"/>
        <v>0</v>
      </c>
      <c r="K100">
        <v>38752.800000000003</v>
      </c>
      <c r="L100">
        <v>4712</v>
      </c>
      <c r="M100">
        <v>7.4999999999999997E-2</v>
      </c>
      <c r="N100">
        <v>15</v>
      </c>
      <c r="O100">
        <v>89.7</v>
      </c>
      <c r="P100">
        <v>3.3650000000000002</v>
      </c>
      <c r="Q100">
        <v>0</v>
      </c>
      <c r="R100">
        <v>4.3</v>
      </c>
      <c r="S100">
        <v>605775.32999999996</v>
      </c>
      <c r="T100">
        <v>107194.6</v>
      </c>
    </row>
    <row r="101" spans="1:20">
      <c r="A101" t="s">
        <v>46</v>
      </c>
      <c r="B101" s="2">
        <v>45748</v>
      </c>
      <c r="C101" t="s">
        <v>27</v>
      </c>
      <c r="D101">
        <f t="shared" si="6"/>
        <v>0</v>
      </c>
      <c r="E101">
        <f t="shared" si="7"/>
        <v>0</v>
      </c>
      <c r="F101">
        <f t="shared" si="8"/>
        <v>1</v>
      </c>
      <c r="G101" t="s">
        <v>28</v>
      </c>
      <c r="H101">
        <f t="shared" si="9"/>
        <v>0</v>
      </c>
      <c r="I101">
        <f t="shared" si="10"/>
        <v>0</v>
      </c>
      <c r="J101">
        <f t="shared" si="11"/>
        <v>0</v>
      </c>
      <c r="K101">
        <v>55101.1</v>
      </c>
      <c r="L101">
        <v>5281</v>
      </c>
      <c r="M101">
        <v>0.189</v>
      </c>
      <c r="N101">
        <v>11</v>
      </c>
      <c r="O101">
        <v>91</v>
      </c>
      <c r="P101">
        <v>2.7</v>
      </c>
      <c r="Q101">
        <v>0</v>
      </c>
      <c r="R101">
        <v>4.4000000000000004</v>
      </c>
      <c r="S101">
        <v>675177.68</v>
      </c>
      <c r="T101">
        <v>105628.68</v>
      </c>
    </row>
    <row r="102" spans="1:20">
      <c r="A102" t="s">
        <v>47</v>
      </c>
      <c r="B102" s="2">
        <v>45658</v>
      </c>
      <c r="C102" t="s">
        <v>15</v>
      </c>
      <c r="D102">
        <f t="shared" si="6"/>
        <v>0</v>
      </c>
      <c r="E102">
        <f t="shared" si="7"/>
        <v>0</v>
      </c>
      <c r="F102">
        <f t="shared" si="8"/>
        <v>0</v>
      </c>
      <c r="G102" t="s">
        <v>28</v>
      </c>
      <c r="H102">
        <f t="shared" si="9"/>
        <v>0</v>
      </c>
      <c r="I102">
        <f t="shared" si="10"/>
        <v>0</v>
      </c>
      <c r="J102">
        <f t="shared" si="11"/>
        <v>0</v>
      </c>
      <c r="K102">
        <v>53084.76</v>
      </c>
      <c r="L102">
        <v>3642</v>
      </c>
      <c r="M102">
        <v>0.15</v>
      </c>
      <c r="N102">
        <v>12</v>
      </c>
      <c r="O102">
        <v>91.4</v>
      </c>
      <c r="P102">
        <v>0.2</v>
      </c>
      <c r="Q102">
        <v>0</v>
      </c>
      <c r="R102">
        <v>4.4000000000000004</v>
      </c>
      <c r="S102">
        <v>635181.35</v>
      </c>
      <c r="T102">
        <v>83341.25</v>
      </c>
    </row>
    <row r="103" spans="1:20">
      <c r="A103" t="s">
        <v>47</v>
      </c>
      <c r="B103" s="2">
        <v>45689</v>
      </c>
      <c r="C103" t="s">
        <v>15</v>
      </c>
      <c r="D103">
        <f t="shared" si="6"/>
        <v>0</v>
      </c>
      <c r="E103">
        <f t="shared" si="7"/>
        <v>0</v>
      </c>
      <c r="F103">
        <f t="shared" si="8"/>
        <v>0</v>
      </c>
      <c r="G103" t="s">
        <v>28</v>
      </c>
      <c r="H103">
        <f t="shared" si="9"/>
        <v>0</v>
      </c>
      <c r="I103">
        <f t="shared" si="10"/>
        <v>0</v>
      </c>
      <c r="J103">
        <f t="shared" si="11"/>
        <v>0</v>
      </c>
      <c r="K103">
        <v>63101.59</v>
      </c>
      <c r="L103">
        <v>4373</v>
      </c>
      <c r="M103">
        <v>0.17299999999999999</v>
      </c>
      <c r="N103">
        <v>14</v>
      </c>
      <c r="O103">
        <v>90.4</v>
      </c>
      <c r="P103">
        <v>7.87</v>
      </c>
      <c r="Q103">
        <v>0</v>
      </c>
      <c r="R103">
        <v>4.7</v>
      </c>
      <c r="S103">
        <v>586626.93999999994</v>
      </c>
      <c r="T103">
        <v>86498.55</v>
      </c>
    </row>
    <row r="104" spans="1:20">
      <c r="A104" t="s">
        <v>47</v>
      </c>
      <c r="B104" s="2">
        <v>45717</v>
      </c>
      <c r="C104" t="s">
        <v>15</v>
      </c>
      <c r="D104">
        <f t="shared" si="6"/>
        <v>0</v>
      </c>
      <c r="E104">
        <f t="shared" si="7"/>
        <v>0</v>
      </c>
      <c r="F104">
        <f t="shared" si="8"/>
        <v>0</v>
      </c>
      <c r="G104" t="s">
        <v>28</v>
      </c>
      <c r="H104">
        <f t="shared" si="9"/>
        <v>0</v>
      </c>
      <c r="I104">
        <f t="shared" si="10"/>
        <v>0</v>
      </c>
      <c r="J104">
        <f t="shared" si="11"/>
        <v>0</v>
      </c>
      <c r="K104">
        <v>90084.4</v>
      </c>
      <c r="L104">
        <v>6832</v>
      </c>
      <c r="M104">
        <v>0.185</v>
      </c>
      <c r="N104">
        <v>14</v>
      </c>
      <c r="O104">
        <v>80.5</v>
      </c>
      <c r="P104">
        <v>0.77</v>
      </c>
      <c r="Q104">
        <v>1</v>
      </c>
      <c r="R104">
        <v>4.4000000000000004</v>
      </c>
      <c r="S104">
        <v>740102.64</v>
      </c>
      <c r="T104">
        <v>114299.07</v>
      </c>
    </row>
    <row r="105" spans="1:20">
      <c r="A105" t="s">
        <v>47</v>
      </c>
      <c r="B105" s="2">
        <v>45748</v>
      </c>
      <c r="C105" t="s">
        <v>15</v>
      </c>
      <c r="D105">
        <f t="shared" si="6"/>
        <v>0</v>
      </c>
      <c r="E105">
        <f t="shared" si="7"/>
        <v>0</v>
      </c>
      <c r="F105">
        <f t="shared" si="8"/>
        <v>0</v>
      </c>
      <c r="G105" t="s">
        <v>28</v>
      </c>
      <c r="H105">
        <f t="shared" si="9"/>
        <v>0</v>
      </c>
      <c r="I105">
        <f t="shared" si="10"/>
        <v>0</v>
      </c>
      <c r="J105">
        <f t="shared" si="11"/>
        <v>0</v>
      </c>
      <c r="K105">
        <v>32266.639999999999</v>
      </c>
      <c r="L105">
        <v>2414</v>
      </c>
      <c r="M105">
        <v>0.08</v>
      </c>
      <c r="N105">
        <v>7</v>
      </c>
      <c r="O105">
        <v>92.1</v>
      </c>
      <c r="P105">
        <v>1.48</v>
      </c>
      <c r="Q105">
        <v>0</v>
      </c>
      <c r="R105">
        <v>5</v>
      </c>
      <c r="S105">
        <v>625514.04</v>
      </c>
      <c r="T105">
        <v>120685.08</v>
      </c>
    </row>
    <row r="106" spans="1:20">
      <c r="A106" t="s">
        <v>48</v>
      </c>
      <c r="B106" s="2">
        <v>45658</v>
      </c>
      <c r="C106" t="s">
        <v>27</v>
      </c>
      <c r="D106">
        <f t="shared" si="6"/>
        <v>0</v>
      </c>
      <c r="E106">
        <f t="shared" si="7"/>
        <v>0</v>
      </c>
      <c r="F106">
        <f t="shared" si="8"/>
        <v>1</v>
      </c>
      <c r="G106" t="s">
        <v>18</v>
      </c>
      <c r="H106">
        <f t="shared" si="9"/>
        <v>1</v>
      </c>
      <c r="I106">
        <f t="shared" si="10"/>
        <v>0</v>
      </c>
      <c r="J106">
        <f t="shared" si="11"/>
        <v>0</v>
      </c>
      <c r="K106">
        <v>57919.07</v>
      </c>
      <c r="L106">
        <v>7374</v>
      </c>
      <c r="M106">
        <v>0.10299999999999999</v>
      </c>
      <c r="N106">
        <v>21</v>
      </c>
      <c r="O106">
        <v>82.3</v>
      </c>
      <c r="P106">
        <v>2.87</v>
      </c>
      <c r="Q106">
        <v>0</v>
      </c>
      <c r="R106">
        <v>2.9</v>
      </c>
      <c r="S106">
        <v>727227.2</v>
      </c>
      <c r="T106">
        <v>121292.01</v>
      </c>
    </row>
    <row r="107" spans="1:20">
      <c r="A107" t="s">
        <v>48</v>
      </c>
      <c r="B107" s="2">
        <v>45689</v>
      </c>
      <c r="C107" t="s">
        <v>27</v>
      </c>
      <c r="D107">
        <f t="shared" si="6"/>
        <v>0</v>
      </c>
      <c r="E107">
        <f t="shared" si="7"/>
        <v>0</v>
      </c>
      <c r="F107">
        <f t="shared" si="8"/>
        <v>1</v>
      </c>
      <c r="G107" t="s">
        <v>18</v>
      </c>
      <c r="H107">
        <f t="shared" si="9"/>
        <v>1</v>
      </c>
      <c r="I107">
        <f t="shared" si="10"/>
        <v>0</v>
      </c>
      <c r="J107">
        <f t="shared" si="11"/>
        <v>0</v>
      </c>
      <c r="K107">
        <v>74679.350000000006</v>
      </c>
      <c r="L107">
        <v>8739</v>
      </c>
      <c r="M107">
        <v>5.6000000000000001E-2</v>
      </c>
      <c r="N107">
        <v>21</v>
      </c>
      <c r="O107">
        <v>91.8</v>
      </c>
      <c r="P107">
        <v>2.83</v>
      </c>
      <c r="Q107">
        <v>0</v>
      </c>
      <c r="R107">
        <v>3</v>
      </c>
      <c r="S107">
        <v>783797.89</v>
      </c>
      <c r="T107">
        <v>157620.70000000001</v>
      </c>
    </row>
    <row r="108" spans="1:20">
      <c r="A108" t="s">
        <v>48</v>
      </c>
      <c r="B108" s="2">
        <v>45717</v>
      </c>
      <c r="C108" t="s">
        <v>27</v>
      </c>
      <c r="D108">
        <f t="shared" si="6"/>
        <v>0</v>
      </c>
      <c r="E108">
        <f t="shared" si="7"/>
        <v>0</v>
      </c>
      <c r="F108">
        <f t="shared" si="8"/>
        <v>1</v>
      </c>
      <c r="G108" t="s">
        <v>18</v>
      </c>
      <c r="H108">
        <f t="shared" si="9"/>
        <v>1</v>
      </c>
      <c r="I108">
        <f t="shared" si="10"/>
        <v>0</v>
      </c>
      <c r="J108">
        <f t="shared" si="11"/>
        <v>0</v>
      </c>
      <c r="K108">
        <v>64294.23</v>
      </c>
      <c r="L108">
        <v>6992</v>
      </c>
      <c r="M108">
        <v>0.13300000000000001</v>
      </c>
      <c r="N108">
        <v>14</v>
      </c>
      <c r="O108">
        <v>94.1</v>
      </c>
      <c r="P108">
        <v>0.25</v>
      </c>
      <c r="Q108">
        <v>0</v>
      </c>
      <c r="R108">
        <v>3</v>
      </c>
      <c r="S108">
        <v>795153.84</v>
      </c>
      <c r="T108">
        <v>143194.21</v>
      </c>
    </row>
    <row r="109" spans="1:20">
      <c r="A109" t="s">
        <v>48</v>
      </c>
      <c r="B109" s="2">
        <v>45748</v>
      </c>
      <c r="C109" t="s">
        <v>27</v>
      </c>
      <c r="D109">
        <f t="shared" si="6"/>
        <v>0</v>
      </c>
      <c r="E109">
        <f t="shared" si="7"/>
        <v>0</v>
      </c>
      <c r="F109">
        <f t="shared" si="8"/>
        <v>1</v>
      </c>
      <c r="G109" t="s">
        <v>18</v>
      </c>
      <c r="H109">
        <f t="shared" si="9"/>
        <v>1</v>
      </c>
      <c r="I109">
        <f t="shared" si="10"/>
        <v>0</v>
      </c>
      <c r="J109">
        <f t="shared" si="11"/>
        <v>0</v>
      </c>
      <c r="K109">
        <v>31042.03</v>
      </c>
      <c r="L109">
        <v>7107</v>
      </c>
      <c r="M109">
        <v>5.0999999999999997E-2</v>
      </c>
      <c r="N109">
        <v>15</v>
      </c>
      <c r="O109">
        <v>87</v>
      </c>
      <c r="P109">
        <v>13.33</v>
      </c>
      <c r="Q109">
        <v>0</v>
      </c>
      <c r="R109">
        <v>3.2</v>
      </c>
      <c r="S109">
        <v>665594.93999999994</v>
      </c>
      <c r="T109">
        <v>127597.34</v>
      </c>
    </row>
    <row r="110" spans="1:20">
      <c r="A110" t="s">
        <v>49</v>
      </c>
      <c r="B110" s="2">
        <v>45658</v>
      </c>
      <c r="C110" t="s">
        <v>15</v>
      </c>
      <c r="D110">
        <f t="shared" si="6"/>
        <v>0</v>
      </c>
      <c r="E110">
        <f t="shared" si="7"/>
        <v>0</v>
      </c>
      <c r="F110">
        <f t="shared" si="8"/>
        <v>0</v>
      </c>
      <c r="G110" t="s">
        <v>28</v>
      </c>
      <c r="H110">
        <f t="shared" si="9"/>
        <v>0</v>
      </c>
      <c r="I110">
        <f t="shared" si="10"/>
        <v>0</v>
      </c>
      <c r="J110">
        <f t="shared" si="11"/>
        <v>0</v>
      </c>
      <c r="K110">
        <v>75265.02</v>
      </c>
      <c r="L110">
        <v>6975</v>
      </c>
      <c r="M110">
        <v>0.157</v>
      </c>
      <c r="N110">
        <v>20</v>
      </c>
      <c r="O110">
        <v>73.8</v>
      </c>
      <c r="P110">
        <v>6.35</v>
      </c>
      <c r="Q110">
        <v>1</v>
      </c>
      <c r="R110">
        <v>3.8</v>
      </c>
      <c r="S110">
        <v>709478.39</v>
      </c>
      <c r="T110">
        <v>71294.27</v>
      </c>
    </row>
    <row r="111" spans="1:20">
      <c r="A111" t="s">
        <v>49</v>
      </c>
      <c r="B111" s="2">
        <v>45689</v>
      </c>
      <c r="C111" t="s">
        <v>15</v>
      </c>
      <c r="D111">
        <f t="shared" si="6"/>
        <v>0</v>
      </c>
      <c r="E111">
        <f t="shared" si="7"/>
        <v>0</v>
      </c>
      <c r="F111">
        <f t="shared" si="8"/>
        <v>0</v>
      </c>
      <c r="G111" t="s">
        <v>28</v>
      </c>
      <c r="H111">
        <f t="shared" si="9"/>
        <v>0</v>
      </c>
      <c r="I111">
        <f t="shared" si="10"/>
        <v>0</v>
      </c>
      <c r="J111">
        <f t="shared" si="11"/>
        <v>0</v>
      </c>
      <c r="K111">
        <v>69411.7</v>
      </c>
      <c r="L111">
        <v>5493</v>
      </c>
      <c r="M111">
        <v>0.29199999999999998</v>
      </c>
      <c r="N111">
        <v>13</v>
      </c>
      <c r="O111">
        <v>86.5</v>
      </c>
      <c r="P111">
        <v>6.69</v>
      </c>
      <c r="Q111">
        <v>0</v>
      </c>
      <c r="R111">
        <v>3.8</v>
      </c>
      <c r="S111">
        <v>664162.49</v>
      </c>
      <c r="T111">
        <v>98291.06</v>
      </c>
    </row>
    <row r="112" spans="1:20">
      <c r="A112" t="s">
        <v>49</v>
      </c>
      <c r="B112" s="2">
        <v>45717</v>
      </c>
      <c r="C112" t="s">
        <v>15</v>
      </c>
      <c r="D112">
        <f t="shared" si="6"/>
        <v>0</v>
      </c>
      <c r="E112">
        <f t="shared" si="7"/>
        <v>0</v>
      </c>
      <c r="F112">
        <f t="shared" si="8"/>
        <v>0</v>
      </c>
      <c r="G112" t="s">
        <v>28</v>
      </c>
      <c r="H112">
        <f t="shared" si="9"/>
        <v>0</v>
      </c>
      <c r="I112">
        <f t="shared" si="10"/>
        <v>0</v>
      </c>
      <c r="J112">
        <f t="shared" si="11"/>
        <v>0</v>
      </c>
      <c r="K112">
        <v>51056.15</v>
      </c>
      <c r="L112">
        <v>5686</v>
      </c>
      <c r="M112">
        <v>8.8999999999999996E-2</v>
      </c>
      <c r="N112">
        <v>13</v>
      </c>
      <c r="O112">
        <v>89.9</v>
      </c>
      <c r="P112">
        <v>1.28</v>
      </c>
      <c r="Q112">
        <v>0</v>
      </c>
      <c r="R112">
        <v>4.2</v>
      </c>
      <c r="S112">
        <v>633494.21</v>
      </c>
      <c r="T112">
        <v>105739.47</v>
      </c>
    </row>
    <row r="113" spans="1:20">
      <c r="A113" t="s">
        <v>49</v>
      </c>
      <c r="B113" s="2">
        <v>45748</v>
      </c>
      <c r="C113" t="s">
        <v>15</v>
      </c>
      <c r="D113">
        <f t="shared" si="6"/>
        <v>0</v>
      </c>
      <c r="E113">
        <f t="shared" si="7"/>
        <v>0</v>
      </c>
      <c r="F113">
        <f t="shared" si="8"/>
        <v>0</v>
      </c>
      <c r="G113" t="s">
        <v>28</v>
      </c>
      <c r="H113">
        <f t="shared" si="9"/>
        <v>0</v>
      </c>
      <c r="I113">
        <f t="shared" si="10"/>
        <v>0</v>
      </c>
      <c r="J113">
        <f t="shared" si="11"/>
        <v>0</v>
      </c>
      <c r="K113">
        <v>52758.01</v>
      </c>
      <c r="L113">
        <v>4063</v>
      </c>
      <c r="M113">
        <v>5.7000000000000002E-2</v>
      </c>
      <c r="N113">
        <v>12</v>
      </c>
      <c r="O113">
        <v>91.7</v>
      </c>
      <c r="P113">
        <v>0.92</v>
      </c>
      <c r="Q113">
        <v>0</v>
      </c>
      <c r="R113">
        <v>3.5</v>
      </c>
      <c r="S113">
        <v>713611.16</v>
      </c>
      <c r="T113">
        <v>129717.18</v>
      </c>
    </row>
    <row r="114" spans="1:20">
      <c r="A114" t="s">
        <v>50</v>
      </c>
      <c r="B114" s="2">
        <v>45658</v>
      </c>
      <c r="C114" t="s">
        <v>27</v>
      </c>
      <c r="D114">
        <f t="shared" si="6"/>
        <v>0</v>
      </c>
      <c r="E114">
        <f t="shared" si="7"/>
        <v>0</v>
      </c>
      <c r="F114">
        <f t="shared" si="8"/>
        <v>1</v>
      </c>
      <c r="G114" t="s">
        <v>28</v>
      </c>
      <c r="H114">
        <f t="shared" si="9"/>
        <v>0</v>
      </c>
      <c r="I114">
        <f t="shared" si="10"/>
        <v>0</v>
      </c>
      <c r="J114">
        <f t="shared" si="11"/>
        <v>0</v>
      </c>
      <c r="K114">
        <v>61426.04</v>
      </c>
      <c r="L114">
        <v>8966</v>
      </c>
      <c r="M114">
        <v>0.17299999999999999</v>
      </c>
      <c r="N114">
        <v>22</v>
      </c>
      <c r="O114">
        <v>76.400000000000006</v>
      </c>
      <c r="P114">
        <v>1.05</v>
      </c>
      <c r="Q114">
        <v>0</v>
      </c>
      <c r="R114">
        <v>3.1</v>
      </c>
      <c r="S114">
        <v>778397.97</v>
      </c>
      <c r="T114">
        <v>120044.41</v>
      </c>
    </row>
    <row r="115" spans="1:20">
      <c r="A115" t="s">
        <v>50</v>
      </c>
      <c r="B115" s="2">
        <v>45689</v>
      </c>
      <c r="C115" t="s">
        <v>27</v>
      </c>
      <c r="D115">
        <f t="shared" si="6"/>
        <v>0</v>
      </c>
      <c r="E115">
        <f t="shared" si="7"/>
        <v>0</v>
      </c>
      <c r="F115">
        <f t="shared" si="8"/>
        <v>1</v>
      </c>
      <c r="G115" t="s">
        <v>28</v>
      </c>
      <c r="H115">
        <f t="shared" si="9"/>
        <v>0</v>
      </c>
      <c r="I115">
        <f t="shared" si="10"/>
        <v>0</v>
      </c>
      <c r="J115">
        <f t="shared" si="11"/>
        <v>0</v>
      </c>
      <c r="K115">
        <v>80176.34</v>
      </c>
      <c r="L115">
        <v>9489</v>
      </c>
      <c r="M115">
        <v>0.14199999999999999</v>
      </c>
      <c r="N115">
        <v>22</v>
      </c>
      <c r="O115">
        <v>94.3</v>
      </c>
      <c r="P115">
        <v>2.67</v>
      </c>
      <c r="Q115">
        <v>0</v>
      </c>
      <c r="R115">
        <v>3.5</v>
      </c>
      <c r="S115">
        <v>873380.02</v>
      </c>
      <c r="T115">
        <v>149734.76</v>
      </c>
    </row>
    <row r="116" spans="1:20">
      <c r="A116" t="s">
        <v>50</v>
      </c>
      <c r="B116" s="2">
        <v>45717</v>
      </c>
      <c r="C116" t="s">
        <v>27</v>
      </c>
      <c r="D116">
        <f t="shared" si="6"/>
        <v>0</v>
      </c>
      <c r="E116">
        <f t="shared" si="7"/>
        <v>0</v>
      </c>
      <c r="F116">
        <f t="shared" si="8"/>
        <v>1</v>
      </c>
      <c r="G116" t="s">
        <v>28</v>
      </c>
      <c r="H116">
        <f t="shared" si="9"/>
        <v>0</v>
      </c>
      <c r="I116">
        <f t="shared" si="10"/>
        <v>0</v>
      </c>
      <c r="J116">
        <f t="shared" si="11"/>
        <v>0</v>
      </c>
      <c r="K116">
        <v>33605.18</v>
      </c>
      <c r="L116">
        <v>9225</v>
      </c>
      <c r="M116">
        <v>0.159</v>
      </c>
      <c r="N116">
        <v>23</v>
      </c>
      <c r="O116">
        <v>88.4</v>
      </c>
      <c r="P116">
        <v>5.91</v>
      </c>
      <c r="Q116">
        <v>0</v>
      </c>
      <c r="R116">
        <v>2.8</v>
      </c>
      <c r="S116">
        <v>697287.9</v>
      </c>
      <c r="T116">
        <v>128208.33</v>
      </c>
    </row>
    <row r="117" spans="1:20">
      <c r="A117" t="s">
        <v>50</v>
      </c>
      <c r="B117" s="2">
        <v>45748</v>
      </c>
      <c r="C117" t="s">
        <v>27</v>
      </c>
      <c r="D117">
        <f t="shared" si="6"/>
        <v>0</v>
      </c>
      <c r="E117">
        <f t="shared" si="7"/>
        <v>0</v>
      </c>
      <c r="F117">
        <f t="shared" si="8"/>
        <v>1</v>
      </c>
      <c r="G117" t="s">
        <v>28</v>
      </c>
      <c r="H117">
        <f t="shared" si="9"/>
        <v>0</v>
      </c>
      <c r="I117">
        <f t="shared" si="10"/>
        <v>0</v>
      </c>
      <c r="J117">
        <f t="shared" si="11"/>
        <v>0</v>
      </c>
      <c r="K117">
        <v>25990.54</v>
      </c>
      <c r="L117">
        <v>9249</v>
      </c>
      <c r="M117">
        <v>0.13900000000000001</v>
      </c>
      <c r="N117">
        <v>23</v>
      </c>
      <c r="O117">
        <v>92.5</v>
      </c>
      <c r="P117">
        <v>6.37</v>
      </c>
      <c r="Q117">
        <v>0</v>
      </c>
      <c r="R117">
        <v>3.3</v>
      </c>
      <c r="S117">
        <v>718074.79</v>
      </c>
      <c r="T117">
        <v>115819.87</v>
      </c>
    </row>
    <row r="118" spans="1:20">
      <c r="A118" t="s">
        <v>51</v>
      </c>
      <c r="B118" s="2">
        <v>45658</v>
      </c>
      <c r="C118" t="s">
        <v>27</v>
      </c>
      <c r="D118">
        <f t="shared" si="6"/>
        <v>0</v>
      </c>
      <c r="E118">
        <f t="shared" si="7"/>
        <v>0</v>
      </c>
      <c r="F118">
        <f t="shared" si="8"/>
        <v>1</v>
      </c>
      <c r="G118" t="s">
        <v>16</v>
      </c>
      <c r="H118">
        <f t="shared" si="9"/>
        <v>0</v>
      </c>
      <c r="I118">
        <f t="shared" si="10"/>
        <v>1</v>
      </c>
      <c r="J118">
        <f t="shared" si="11"/>
        <v>0</v>
      </c>
      <c r="K118">
        <v>43685.14</v>
      </c>
      <c r="L118">
        <v>7821</v>
      </c>
      <c r="M118">
        <v>0.19</v>
      </c>
      <c r="N118">
        <v>17</v>
      </c>
      <c r="O118">
        <v>91</v>
      </c>
      <c r="P118">
        <v>2.4900000000000002</v>
      </c>
      <c r="Q118">
        <v>1</v>
      </c>
      <c r="R118">
        <v>4.7</v>
      </c>
      <c r="S118">
        <v>714942.43</v>
      </c>
      <c r="T118">
        <v>94697.71</v>
      </c>
    </row>
    <row r="119" spans="1:20">
      <c r="A119" t="s">
        <v>51</v>
      </c>
      <c r="B119" s="2">
        <v>45689</v>
      </c>
      <c r="C119" t="s">
        <v>27</v>
      </c>
      <c r="D119">
        <f t="shared" si="6"/>
        <v>0</v>
      </c>
      <c r="E119">
        <f t="shared" si="7"/>
        <v>0</v>
      </c>
      <c r="F119">
        <f t="shared" si="8"/>
        <v>1</v>
      </c>
      <c r="G119" t="s">
        <v>16</v>
      </c>
      <c r="H119">
        <f t="shared" si="9"/>
        <v>0</v>
      </c>
      <c r="I119">
        <f t="shared" si="10"/>
        <v>1</v>
      </c>
      <c r="J119">
        <f t="shared" si="11"/>
        <v>0</v>
      </c>
      <c r="K119">
        <v>57360.01</v>
      </c>
      <c r="L119">
        <v>8434</v>
      </c>
      <c r="M119">
        <v>0.151</v>
      </c>
      <c r="N119">
        <v>19</v>
      </c>
      <c r="O119">
        <v>84.1</v>
      </c>
      <c r="P119">
        <v>1.56</v>
      </c>
      <c r="Q119">
        <v>0</v>
      </c>
      <c r="R119">
        <v>4.7</v>
      </c>
      <c r="S119">
        <v>820519.04</v>
      </c>
      <c r="T119">
        <v>99035.88</v>
      </c>
    </row>
    <row r="120" spans="1:20">
      <c r="A120" t="s">
        <v>51</v>
      </c>
      <c r="B120" s="2">
        <v>45717</v>
      </c>
      <c r="C120" t="s">
        <v>27</v>
      </c>
      <c r="D120">
        <f t="shared" si="6"/>
        <v>0</v>
      </c>
      <c r="E120">
        <f t="shared" si="7"/>
        <v>0</v>
      </c>
      <c r="F120">
        <f t="shared" si="8"/>
        <v>1</v>
      </c>
      <c r="G120" t="s">
        <v>16</v>
      </c>
      <c r="H120">
        <f t="shared" si="9"/>
        <v>0</v>
      </c>
      <c r="I120">
        <f t="shared" si="10"/>
        <v>1</v>
      </c>
      <c r="J120">
        <f t="shared" si="11"/>
        <v>0</v>
      </c>
      <c r="K120">
        <v>42415.47</v>
      </c>
      <c r="L120">
        <v>8512</v>
      </c>
      <c r="M120">
        <v>0.13300000000000001</v>
      </c>
      <c r="N120">
        <v>18</v>
      </c>
      <c r="O120">
        <v>96.8</v>
      </c>
      <c r="P120">
        <v>14.95</v>
      </c>
      <c r="Q120">
        <v>0</v>
      </c>
      <c r="R120">
        <v>4.5999999999999996</v>
      </c>
      <c r="S120">
        <v>684217.32</v>
      </c>
      <c r="T120">
        <v>136217.19</v>
      </c>
    </row>
    <row r="121" spans="1:20">
      <c r="A121" t="s">
        <v>51</v>
      </c>
      <c r="B121" s="2">
        <v>45748</v>
      </c>
      <c r="C121" t="s">
        <v>27</v>
      </c>
      <c r="D121">
        <f t="shared" si="6"/>
        <v>0</v>
      </c>
      <c r="E121">
        <f t="shared" si="7"/>
        <v>0</v>
      </c>
      <c r="F121">
        <f t="shared" si="8"/>
        <v>1</v>
      </c>
      <c r="G121" t="s">
        <v>16</v>
      </c>
      <c r="H121">
        <f t="shared" si="9"/>
        <v>0</v>
      </c>
      <c r="I121">
        <f t="shared" si="10"/>
        <v>1</v>
      </c>
      <c r="J121">
        <f t="shared" si="11"/>
        <v>0</v>
      </c>
      <c r="K121">
        <v>54968.98</v>
      </c>
      <c r="L121">
        <v>7816</v>
      </c>
      <c r="M121">
        <v>0.23200000000000001</v>
      </c>
      <c r="N121">
        <v>19</v>
      </c>
      <c r="O121">
        <v>95.7</v>
      </c>
      <c r="P121">
        <v>7.85</v>
      </c>
      <c r="Q121">
        <v>0</v>
      </c>
      <c r="R121">
        <v>4.7</v>
      </c>
      <c r="S121">
        <v>735480.19</v>
      </c>
      <c r="T121">
        <v>88342.11</v>
      </c>
    </row>
    <row r="122" spans="1:20">
      <c r="A122" t="s">
        <v>52</v>
      </c>
      <c r="B122" s="2">
        <v>45658</v>
      </c>
      <c r="C122" t="s">
        <v>20</v>
      </c>
      <c r="D122">
        <f t="shared" si="6"/>
        <v>1</v>
      </c>
      <c r="E122">
        <f t="shared" si="7"/>
        <v>0</v>
      </c>
      <c r="F122">
        <f t="shared" si="8"/>
        <v>0</v>
      </c>
      <c r="G122" t="s">
        <v>18</v>
      </c>
      <c r="H122">
        <f t="shared" si="9"/>
        <v>1</v>
      </c>
      <c r="I122">
        <f t="shared" si="10"/>
        <v>0</v>
      </c>
      <c r="J122">
        <f t="shared" si="11"/>
        <v>0</v>
      </c>
      <c r="K122">
        <v>43896.13</v>
      </c>
      <c r="L122">
        <v>3853</v>
      </c>
      <c r="M122">
        <v>8.7999999999999995E-2</v>
      </c>
      <c r="N122">
        <v>13</v>
      </c>
      <c r="O122">
        <v>83</v>
      </c>
      <c r="P122">
        <v>6.8</v>
      </c>
      <c r="Q122">
        <v>0</v>
      </c>
      <c r="R122">
        <v>4.4000000000000004</v>
      </c>
      <c r="S122">
        <v>509484.81</v>
      </c>
      <c r="T122">
        <v>85742.36</v>
      </c>
    </row>
    <row r="123" spans="1:20">
      <c r="A123" t="s">
        <v>52</v>
      </c>
      <c r="B123" s="2">
        <v>45689</v>
      </c>
      <c r="C123" t="s">
        <v>20</v>
      </c>
      <c r="D123">
        <f t="shared" si="6"/>
        <v>1</v>
      </c>
      <c r="E123">
        <f t="shared" si="7"/>
        <v>0</v>
      </c>
      <c r="F123">
        <f t="shared" si="8"/>
        <v>0</v>
      </c>
      <c r="G123" t="s">
        <v>18</v>
      </c>
      <c r="H123">
        <f t="shared" si="9"/>
        <v>1</v>
      </c>
      <c r="I123">
        <f t="shared" si="10"/>
        <v>0</v>
      </c>
      <c r="J123">
        <f t="shared" si="11"/>
        <v>0</v>
      </c>
      <c r="K123">
        <v>83044.17</v>
      </c>
      <c r="L123">
        <v>3694</v>
      </c>
      <c r="M123">
        <v>0</v>
      </c>
      <c r="N123">
        <v>14</v>
      </c>
      <c r="O123">
        <v>89.4</v>
      </c>
      <c r="P123">
        <v>2.2000000000000002</v>
      </c>
      <c r="Q123">
        <v>0</v>
      </c>
      <c r="R123">
        <v>3.7</v>
      </c>
      <c r="S123">
        <v>654317.09</v>
      </c>
      <c r="T123">
        <v>121446.89</v>
      </c>
    </row>
    <row r="124" spans="1:20">
      <c r="A124" t="s">
        <v>52</v>
      </c>
      <c r="B124" s="2">
        <v>45717</v>
      </c>
      <c r="C124" t="s">
        <v>20</v>
      </c>
      <c r="D124">
        <f t="shared" si="6"/>
        <v>1</v>
      </c>
      <c r="E124">
        <f t="shared" si="7"/>
        <v>0</v>
      </c>
      <c r="F124">
        <f t="shared" si="8"/>
        <v>0</v>
      </c>
      <c r="G124" t="s">
        <v>18</v>
      </c>
      <c r="H124">
        <f t="shared" si="9"/>
        <v>1</v>
      </c>
      <c r="I124">
        <f t="shared" si="10"/>
        <v>0</v>
      </c>
      <c r="J124">
        <f t="shared" si="11"/>
        <v>0</v>
      </c>
      <c r="K124">
        <v>48396.13</v>
      </c>
      <c r="L124">
        <v>4423</v>
      </c>
      <c r="M124">
        <v>6.9000000000000006E-2</v>
      </c>
      <c r="N124">
        <v>15</v>
      </c>
      <c r="O124">
        <v>85.7</v>
      </c>
      <c r="P124">
        <v>1.88</v>
      </c>
      <c r="Q124">
        <v>0</v>
      </c>
      <c r="R124">
        <v>3.9</v>
      </c>
      <c r="S124">
        <v>557487.26</v>
      </c>
      <c r="T124">
        <v>76432.19</v>
      </c>
    </row>
    <row r="125" spans="1:20">
      <c r="A125" t="s">
        <v>52</v>
      </c>
      <c r="B125" s="2">
        <v>45748</v>
      </c>
      <c r="C125" t="s">
        <v>20</v>
      </c>
      <c r="D125">
        <f t="shared" si="6"/>
        <v>1</v>
      </c>
      <c r="E125">
        <f t="shared" si="7"/>
        <v>0</v>
      </c>
      <c r="F125">
        <f t="shared" si="8"/>
        <v>0</v>
      </c>
      <c r="G125" t="s">
        <v>18</v>
      </c>
      <c r="H125">
        <f t="shared" si="9"/>
        <v>1</v>
      </c>
      <c r="I125">
        <f t="shared" si="10"/>
        <v>0</v>
      </c>
      <c r="J125">
        <f t="shared" si="11"/>
        <v>0</v>
      </c>
      <c r="K125">
        <v>19063.48</v>
      </c>
      <c r="L125">
        <v>1906</v>
      </c>
      <c r="M125">
        <v>0.216</v>
      </c>
      <c r="N125">
        <v>10</v>
      </c>
      <c r="O125">
        <v>97.8</v>
      </c>
      <c r="P125">
        <v>15.79</v>
      </c>
      <c r="Q125">
        <v>0</v>
      </c>
      <c r="R125">
        <v>4.4000000000000004</v>
      </c>
      <c r="S125">
        <v>441275.42</v>
      </c>
      <c r="T125">
        <v>58234.87</v>
      </c>
    </row>
    <row r="126" spans="1:20">
      <c r="A126" t="s">
        <v>53</v>
      </c>
      <c r="B126" s="2">
        <v>45658</v>
      </c>
      <c r="C126" t="s">
        <v>24</v>
      </c>
      <c r="D126">
        <f t="shared" si="6"/>
        <v>0</v>
      </c>
      <c r="E126">
        <f t="shared" si="7"/>
        <v>1</v>
      </c>
      <c r="F126">
        <f t="shared" si="8"/>
        <v>0</v>
      </c>
      <c r="G126" t="s">
        <v>18</v>
      </c>
      <c r="H126">
        <f t="shared" si="9"/>
        <v>1</v>
      </c>
      <c r="I126">
        <f t="shared" si="10"/>
        <v>0</v>
      </c>
      <c r="J126">
        <f t="shared" si="11"/>
        <v>0</v>
      </c>
      <c r="K126">
        <v>61541.21</v>
      </c>
      <c r="L126">
        <v>10396</v>
      </c>
      <c r="M126">
        <v>0.123</v>
      </c>
      <c r="N126">
        <v>25</v>
      </c>
      <c r="O126">
        <v>88.1</v>
      </c>
      <c r="P126">
        <v>2.34</v>
      </c>
      <c r="Q126">
        <v>1</v>
      </c>
      <c r="R126">
        <v>4.8</v>
      </c>
      <c r="S126">
        <v>914544.17</v>
      </c>
      <c r="T126">
        <v>79831.73</v>
      </c>
    </row>
    <row r="127" spans="1:20">
      <c r="A127" t="s">
        <v>53</v>
      </c>
      <c r="B127" s="2">
        <v>45689</v>
      </c>
      <c r="C127" t="s">
        <v>24</v>
      </c>
      <c r="D127">
        <f t="shared" si="6"/>
        <v>0</v>
      </c>
      <c r="E127">
        <f t="shared" si="7"/>
        <v>1</v>
      </c>
      <c r="F127">
        <f t="shared" si="8"/>
        <v>0</v>
      </c>
      <c r="G127" t="s">
        <v>18</v>
      </c>
      <c r="H127">
        <f t="shared" si="9"/>
        <v>1</v>
      </c>
      <c r="I127">
        <f t="shared" si="10"/>
        <v>0</v>
      </c>
      <c r="J127">
        <f t="shared" si="11"/>
        <v>0</v>
      </c>
      <c r="K127">
        <v>44747</v>
      </c>
      <c r="L127">
        <v>11076</v>
      </c>
      <c r="M127">
        <v>0.17599999999999999</v>
      </c>
      <c r="N127">
        <v>27</v>
      </c>
      <c r="O127">
        <v>98.3</v>
      </c>
      <c r="P127">
        <v>0.54</v>
      </c>
      <c r="Q127">
        <v>0</v>
      </c>
      <c r="R127">
        <v>4.4000000000000004</v>
      </c>
      <c r="S127">
        <v>842439.67</v>
      </c>
      <c r="T127">
        <v>169983.63</v>
      </c>
    </row>
    <row r="128" spans="1:20">
      <c r="A128" t="s">
        <v>53</v>
      </c>
      <c r="B128" s="2">
        <v>45717</v>
      </c>
      <c r="C128" t="s">
        <v>24</v>
      </c>
      <c r="D128">
        <f t="shared" si="6"/>
        <v>0</v>
      </c>
      <c r="E128">
        <f t="shared" si="7"/>
        <v>1</v>
      </c>
      <c r="F128">
        <f t="shared" si="8"/>
        <v>0</v>
      </c>
      <c r="G128" t="s">
        <v>18</v>
      </c>
      <c r="H128">
        <f t="shared" si="9"/>
        <v>1</v>
      </c>
      <c r="I128">
        <f t="shared" si="10"/>
        <v>0</v>
      </c>
      <c r="J128">
        <f t="shared" si="11"/>
        <v>0</v>
      </c>
      <c r="K128">
        <v>56517.9</v>
      </c>
      <c r="L128">
        <v>9574</v>
      </c>
      <c r="M128">
        <v>0.20399999999999999</v>
      </c>
      <c r="N128">
        <v>20</v>
      </c>
      <c r="O128">
        <v>88.2</v>
      </c>
      <c r="P128">
        <v>5.37</v>
      </c>
      <c r="Q128">
        <v>1</v>
      </c>
      <c r="R128">
        <v>4.9000000000000004</v>
      </c>
      <c r="S128">
        <v>842157.92</v>
      </c>
      <c r="T128">
        <v>107348.22</v>
      </c>
    </row>
    <row r="129" spans="1:20">
      <c r="A129" t="s">
        <v>53</v>
      </c>
      <c r="B129" s="2">
        <v>45748</v>
      </c>
      <c r="C129" t="s">
        <v>24</v>
      </c>
      <c r="D129">
        <f t="shared" si="6"/>
        <v>0</v>
      </c>
      <c r="E129">
        <f t="shared" si="7"/>
        <v>1</v>
      </c>
      <c r="F129">
        <f t="shared" si="8"/>
        <v>0</v>
      </c>
      <c r="G129" t="s">
        <v>18</v>
      </c>
      <c r="H129">
        <f t="shared" si="9"/>
        <v>1</v>
      </c>
      <c r="I129">
        <f t="shared" si="10"/>
        <v>0</v>
      </c>
      <c r="J129">
        <f t="shared" si="11"/>
        <v>0</v>
      </c>
      <c r="K129">
        <v>37828.5</v>
      </c>
      <c r="L129">
        <v>8221</v>
      </c>
      <c r="M129">
        <v>9.6000000000000002E-2</v>
      </c>
      <c r="N129">
        <v>19</v>
      </c>
      <c r="O129">
        <v>81.5</v>
      </c>
      <c r="P129">
        <v>3.19</v>
      </c>
      <c r="Q129">
        <v>0</v>
      </c>
      <c r="R129">
        <v>4.8</v>
      </c>
      <c r="S129">
        <v>697155.3</v>
      </c>
      <c r="T129">
        <v>136408.54</v>
      </c>
    </row>
    <row r="130" spans="1:20">
      <c r="A130" t="s">
        <v>54</v>
      </c>
      <c r="B130" s="2">
        <v>45658</v>
      </c>
      <c r="C130" t="s">
        <v>15</v>
      </c>
      <c r="D130">
        <f t="shared" si="6"/>
        <v>0</v>
      </c>
      <c r="E130">
        <f t="shared" si="7"/>
        <v>0</v>
      </c>
      <c r="F130">
        <f t="shared" si="8"/>
        <v>0</v>
      </c>
      <c r="G130" t="s">
        <v>18</v>
      </c>
      <c r="H130">
        <f t="shared" si="9"/>
        <v>1</v>
      </c>
      <c r="I130">
        <f t="shared" si="10"/>
        <v>0</v>
      </c>
      <c r="J130">
        <f t="shared" si="11"/>
        <v>0</v>
      </c>
      <c r="K130">
        <v>66250.53</v>
      </c>
      <c r="L130">
        <v>10618</v>
      </c>
      <c r="M130">
        <v>0.14199999999999999</v>
      </c>
      <c r="N130">
        <v>27</v>
      </c>
      <c r="O130">
        <v>88.3</v>
      </c>
      <c r="P130">
        <v>1.1000000000000001</v>
      </c>
      <c r="Q130">
        <v>1</v>
      </c>
      <c r="R130">
        <v>4.4000000000000004</v>
      </c>
      <c r="S130">
        <v>849018.3</v>
      </c>
      <c r="T130">
        <v>149035.13</v>
      </c>
    </row>
    <row r="131" spans="1:20">
      <c r="A131" t="s">
        <v>54</v>
      </c>
      <c r="B131" s="2">
        <v>45689</v>
      </c>
      <c r="C131" t="s">
        <v>15</v>
      </c>
      <c r="D131">
        <f t="shared" ref="D131:D194" si="12">IF(C131="North",1,0)</f>
        <v>0</v>
      </c>
      <c r="E131">
        <f t="shared" ref="E131:E194" si="13">IF(C131="South",1,0)</f>
        <v>0</v>
      </c>
      <c r="F131">
        <f t="shared" ref="F131:F194" si="14">IF(C131="West",1,0)</f>
        <v>0</v>
      </c>
      <c r="G131" t="s">
        <v>18</v>
      </c>
      <c r="H131">
        <f t="shared" ref="H131:H194" si="15">IF(G131="High Street",1,0)</f>
        <v>1</v>
      </c>
      <c r="I131">
        <f t="shared" ref="I131:I194" si="16">IF(G131="Residential",1,0)</f>
        <v>0</v>
      </c>
      <c r="J131">
        <f t="shared" ref="J131:J194" si="17">IF(G131="Airport",1,0)</f>
        <v>0</v>
      </c>
      <c r="K131">
        <v>68410.929999999993</v>
      </c>
      <c r="L131">
        <v>10596</v>
      </c>
      <c r="M131">
        <v>0.20699999999999999</v>
      </c>
      <c r="N131">
        <v>25</v>
      </c>
      <c r="O131">
        <v>81.2</v>
      </c>
      <c r="P131">
        <v>0.21</v>
      </c>
      <c r="Q131">
        <v>0</v>
      </c>
      <c r="R131">
        <v>4</v>
      </c>
      <c r="S131">
        <v>801830.35</v>
      </c>
      <c r="T131">
        <v>114875.32</v>
      </c>
    </row>
    <row r="132" spans="1:20">
      <c r="A132" t="s">
        <v>54</v>
      </c>
      <c r="B132" s="2">
        <v>45717</v>
      </c>
      <c r="C132" t="s">
        <v>15</v>
      </c>
      <c r="D132">
        <f t="shared" si="12"/>
        <v>0</v>
      </c>
      <c r="E132">
        <f t="shared" si="13"/>
        <v>0</v>
      </c>
      <c r="F132">
        <f t="shared" si="14"/>
        <v>0</v>
      </c>
      <c r="G132" t="s">
        <v>18</v>
      </c>
      <c r="H132">
        <f t="shared" si="15"/>
        <v>1</v>
      </c>
      <c r="I132">
        <f t="shared" si="16"/>
        <v>0</v>
      </c>
      <c r="J132">
        <f t="shared" si="17"/>
        <v>0</v>
      </c>
      <c r="K132">
        <v>50735.63</v>
      </c>
      <c r="L132">
        <v>9619</v>
      </c>
      <c r="M132">
        <v>0.14399999999999999</v>
      </c>
      <c r="N132">
        <v>19</v>
      </c>
      <c r="O132">
        <v>93.8</v>
      </c>
      <c r="P132">
        <v>5.12</v>
      </c>
      <c r="Q132">
        <v>1</v>
      </c>
      <c r="R132">
        <v>4.5</v>
      </c>
      <c r="S132">
        <v>725235.28</v>
      </c>
      <c r="T132">
        <v>121632.24</v>
      </c>
    </row>
    <row r="133" spans="1:20">
      <c r="A133" t="s">
        <v>54</v>
      </c>
      <c r="B133" s="2">
        <v>45748</v>
      </c>
      <c r="C133" t="s">
        <v>15</v>
      </c>
      <c r="D133">
        <f t="shared" si="12"/>
        <v>0</v>
      </c>
      <c r="E133">
        <f t="shared" si="13"/>
        <v>0</v>
      </c>
      <c r="F133">
        <f t="shared" si="14"/>
        <v>0</v>
      </c>
      <c r="G133" t="s">
        <v>18</v>
      </c>
      <c r="H133">
        <f t="shared" si="15"/>
        <v>1</v>
      </c>
      <c r="I133">
        <f t="shared" si="16"/>
        <v>0</v>
      </c>
      <c r="J133">
        <f t="shared" si="17"/>
        <v>0</v>
      </c>
      <c r="K133">
        <v>66455.8</v>
      </c>
      <c r="L133">
        <v>10836</v>
      </c>
      <c r="M133">
        <v>8.8999999999999996E-2</v>
      </c>
      <c r="N133">
        <v>25</v>
      </c>
      <c r="O133">
        <v>85</v>
      </c>
      <c r="P133">
        <v>9.77</v>
      </c>
      <c r="Q133">
        <v>0</v>
      </c>
      <c r="R133">
        <v>4.5</v>
      </c>
      <c r="S133">
        <v>811452.72</v>
      </c>
      <c r="T133">
        <v>131325.67000000001</v>
      </c>
    </row>
    <row r="134" spans="1:20">
      <c r="A134" t="s">
        <v>55</v>
      </c>
      <c r="B134" s="2">
        <v>45658</v>
      </c>
      <c r="C134" t="s">
        <v>20</v>
      </c>
      <c r="D134">
        <f t="shared" si="12"/>
        <v>1</v>
      </c>
      <c r="E134">
        <f t="shared" si="13"/>
        <v>0</v>
      </c>
      <c r="F134">
        <f t="shared" si="14"/>
        <v>0</v>
      </c>
      <c r="G134" t="s">
        <v>18</v>
      </c>
      <c r="H134">
        <f t="shared" si="15"/>
        <v>1</v>
      </c>
      <c r="I134">
        <f t="shared" si="16"/>
        <v>0</v>
      </c>
      <c r="J134">
        <f t="shared" si="17"/>
        <v>0</v>
      </c>
      <c r="K134">
        <v>70276.28</v>
      </c>
      <c r="L134">
        <v>3043</v>
      </c>
      <c r="M134">
        <v>7.9000000000000001E-2</v>
      </c>
      <c r="N134">
        <v>9</v>
      </c>
      <c r="O134">
        <v>87.9</v>
      </c>
      <c r="P134">
        <v>3.77</v>
      </c>
      <c r="Q134">
        <v>0</v>
      </c>
      <c r="R134">
        <v>4.4000000000000004</v>
      </c>
      <c r="S134">
        <v>527300.13</v>
      </c>
      <c r="T134">
        <v>84197.87</v>
      </c>
    </row>
    <row r="135" spans="1:20">
      <c r="A135" t="s">
        <v>55</v>
      </c>
      <c r="B135" s="2">
        <v>45689</v>
      </c>
      <c r="C135" t="s">
        <v>20</v>
      </c>
      <c r="D135">
        <f t="shared" si="12"/>
        <v>1</v>
      </c>
      <c r="E135">
        <f t="shared" si="13"/>
        <v>0</v>
      </c>
      <c r="F135">
        <f t="shared" si="14"/>
        <v>0</v>
      </c>
      <c r="G135" t="s">
        <v>18</v>
      </c>
      <c r="H135">
        <f t="shared" si="15"/>
        <v>1</v>
      </c>
      <c r="I135">
        <f t="shared" si="16"/>
        <v>0</v>
      </c>
      <c r="J135">
        <f t="shared" si="17"/>
        <v>0</v>
      </c>
      <c r="K135">
        <v>22071.64</v>
      </c>
      <c r="L135">
        <v>1814</v>
      </c>
      <c r="M135">
        <v>0.19600000000000001</v>
      </c>
      <c r="N135">
        <v>8</v>
      </c>
      <c r="O135">
        <v>81.099999999999994</v>
      </c>
      <c r="P135">
        <v>0.78</v>
      </c>
      <c r="Q135">
        <v>0</v>
      </c>
      <c r="R135">
        <v>3.92</v>
      </c>
      <c r="S135">
        <v>400831.65</v>
      </c>
      <c r="T135">
        <v>70979.31</v>
      </c>
    </row>
    <row r="136" spans="1:20">
      <c r="A136" t="s">
        <v>55</v>
      </c>
      <c r="B136" s="2">
        <v>45717</v>
      </c>
      <c r="C136" t="s">
        <v>20</v>
      </c>
      <c r="D136">
        <f t="shared" si="12"/>
        <v>1</v>
      </c>
      <c r="E136">
        <f t="shared" si="13"/>
        <v>0</v>
      </c>
      <c r="F136">
        <f t="shared" si="14"/>
        <v>0</v>
      </c>
      <c r="G136" t="s">
        <v>18</v>
      </c>
      <c r="H136">
        <f t="shared" si="15"/>
        <v>1</v>
      </c>
      <c r="I136">
        <f t="shared" si="16"/>
        <v>0</v>
      </c>
      <c r="J136">
        <f t="shared" si="17"/>
        <v>0</v>
      </c>
      <c r="K136">
        <v>52285.45</v>
      </c>
      <c r="L136">
        <v>3618</v>
      </c>
      <c r="M136">
        <v>8.5999999999999993E-2</v>
      </c>
      <c r="N136">
        <v>11</v>
      </c>
      <c r="O136">
        <v>95.6</v>
      </c>
      <c r="P136">
        <v>5.17</v>
      </c>
      <c r="Q136">
        <v>1</v>
      </c>
      <c r="R136">
        <v>4.4000000000000004</v>
      </c>
      <c r="S136">
        <v>593247.25</v>
      </c>
      <c r="T136">
        <v>81240.289999999994</v>
      </c>
    </row>
    <row r="137" spans="1:20">
      <c r="A137" t="s">
        <v>55</v>
      </c>
      <c r="B137" s="2">
        <v>45748</v>
      </c>
      <c r="C137" t="s">
        <v>20</v>
      </c>
      <c r="D137">
        <f t="shared" si="12"/>
        <v>1</v>
      </c>
      <c r="E137">
        <f t="shared" si="13"/>
        <v>0</v>
      </c>
      <c r="F137">
        <f t="shared" si="14"/>
        <v>0</v>
      </c>
      <c r="G137" t="s">
        <v>18</v>
      </c>
      <c r="H137">
        <f t="shared" si="15"/>
        <v>1</v>
      </c>
      <c r="I137">
        <f t="shared" si="16"/>
        <v>0</v>
      </c>
      <c r="J137">
        <f t="shared" si="17"/>
        <v>0</v>
      </c>
      <c r="K137">
        <v>70366.759999999995</v>
      </c>
      <c r="L137">
        <v>1963</v>
      </c>
      <c r="M137">
        <v>0.182</v>
      </c>
      <c r="N137">
        <v>8</v>
      </c>
      <c r="O137">
        <v>89.8</v>
      </c>
      <c r="P137">
        <v>3.2</v>
      </c>
      <c r="Q137">
        <v>0</v>
      </c>
      <c r="R137">
        <v>4.5999999999999996</v>
      </c>
      <c r="S137">
        <v>529075.94999999995</v>
      </c>
      <c r="T137">
        <v>95978.83</v>
      </c>
    </row>
    <row r="138" spans="1:20">
      <c r="A138" t="s">
        <v>56</v>
      </c>
      <c r="B138" s="2">
        <v>45658</v>
      </c>
      <c r="C138" t="s">
        <v>24</v>
      </c>
      <c r="D138">
        <f t="shared" si="12"/>
        <v>0</v>
      </c>
      <c r="E138">
        <f t="shared" si="13"/>
        <v>1</v>
      </c>
      <c r="F138">
        <f t="shared" si="14"/>
        <v>0</v>
      </c>
      <c r="G138" t="s">
        <v>16</v>
      </c>
      <c r="H138">
        <f t="shared" si="15"/>
        <v>0</v>
      </c>
      <c r="I138">
        <f t="shared" si="16"/>
        <v>1</v>
      </c>
      <c r="J138">
        <f t="shared" si="17"/>
        <v>0</v>
      </c>
      <c r="K138">
        <v>71320.66</v>
      </c>
      <c r="L138">
        <v>7888</v>
      </c>
      <c r="M138">
        <v>4.8000000000000001E-2</v>
      </c>
      <c r="N138">
        <v>20</v>
      </c>
      <c r="O138">
        <v>78.099999999999994</v>
      </c>
      <c r="P138">
        <v>3.4</v>
      </c>
      <c r="Q138">
        <v>0</v>
      </c>
      <c r="R138">
        <v>3.92</v>
      </c>
      <c r="S138">
        <v>633638.03</v>
      </c>
      <c r="T138">
        <v>99402.01</v>
      </c>
    </row>
    <row r="139" spans="1:20">
      <c r="A139" t="s">
        <v>56</v>
      </c>
      <c r="B139" s="2">
        <v>45689</v>
      </c>
      <c r="C139" t="s">
        <v>24</v>
      </c>
      <c r="D139">
        <f t="shared" si="12"/>
        <v>0</v>
      </c>
      <c r="E139">
        <f t="shared" si="13"/>
        <v>1</v>
      </c>
      <c r="F139">
        <f t="shared" si="14"/>
        <v>0</v>
      </c>
      <c r="G139" t="s">
        <v>16</v>
      </c>
      <c r="H139">
        <f t="shared" si="15"/>
        <v>0</v>
      </c>
      <c r="I139">
        <f t="shared" si="16"/>
        <v>1</v>
      </c>
      <c r="J139">
        <f t="shared" si="17"/>
        <v>0</v>
      </c>
      <c r="K139">
        <v>75109.67</v>
      </c>
      <c r="L139">
        <v>6244</v>
      </c>
      <c r="M139">
        <v>7.9000000000000001E-2</v>
      </c>
      <c r="N139">
        <v>15</v>
      </c>
      <c r="O139">
        <v>96.3</v>
      </c>
      <c r="P139">
        <v>7.38</v>
      </c>
      <c r="Q139">
        <v>0</v>
      </c>
      <c r="R139">
        <v>3.7</v>
      </c>
      <c r="S139">
        <v>743348.84</v>
      </c>
      <c r="T139">
        <v>104186.09</v>
      </c>
    </row>
    <row r="140" spans="1:20">
      <c r="A140" t="s">
        <v>56</v>
      </c>
      <c r="B140" s="2">
        <v>45717</v>
      </c>
      <c r="C140" t="s">
        <v>24</v>
      </c>
      <c r="D140">
        <f t="shared" si="12"/>
        <v>0</v>
      </c>
      <c r="E140">
        <f t="shared" si="13"/>
        <v>1</v>
      </c>
      <c r="F140">
        <f t="shared" si="14"/>
        <v>0</v>
      </c>
      <c r="G140" t="s">
        <v>16</v>
      </c>
      <c r="H140">
        <f t="shared" si="15"/>
        <v>0</v>
      </c>
      <c r="I140">
        <f t="shared" si="16"/>
        <v>1</v>
      </c>
      <c r="J140">
        <f t="shared" si="17"/>
        <v>0</v>
      </c>
      <c r="K140">
        <v>69779</v>
      </c>
      <c r="L140">
        <v>6544</v>
      </c>
      <c r="M140">
        <v>0.152</v>
      </c>
      <c r="N140">
        <v>18</v>
      </c>
      <c r="O140">
        <v>90.2</v>
      </c>
      <c r="P140">
        <v>0.85</v>
      </c>
      <c r="Q140">
        <v>1</v>
      </c>
      <c r="R140">
        <v>3.3</v>
      </c>
      <c r="S140">
        <v>758827.64</v>
      </c>
      <c r="T140">
        <v>161439.48000000001</v>
      </c>
    </row>
    <row r="141" spans="1:20">
      <c r="A141" t="s">
        <v>56</v>
      </c>
      <c r="B141" s="2">
        <v>45748</v>
      </c>
      <c r="C141" t="s">
        <v>24</v>
      </c>
      <c r="D141">
        <f t="shared" si="12"/>
        <v>0</v>
      </c>
      <c r="E141">
        <f t="shared" si="13"/>
        <v>1</v>
      </c>
      <c r="F141">
        <f t="shared" si="14"/>
        <v>0</v>
      </c>
      <c r="G141" t="s">
        <v>16</v>
      </c>
      <c r="H141">
        <f t="shared" si="15"/>
        <v>0</v>
      </c>
      <c r="I141">
        <f t="shared" si="16"/>
        <v>1</v>
      </c>
      <c r="J141">
        <f t="shared" si="17"/>
        <v>0</v>
      </c>
      <c r="K141">
        <v>44211.95</v>
      </c>
      <c r="L141">
        <v>5465</v>
      </c>
      <c r="M141">
        <v>0.187</v>
      </c>
      <c r="N141">
        <v>12</v>
      </c>
      <c r="O141">
        <v>90</v>
      </c>
      <c r="P141">
        <v>2.89</v>
      </c>
      <c r="Q141">
        <v>0</v>
      </c>
      <c r="R141">
        <v>3.6</v>
      </c>
      <c r="S141">
        <v>646559.71</v>
      </c>
      <c r="T141">
        <v>97981.75</v>
      </c>
    </row>
    <row r="142" spans="1:20">
      <c r="A142" t="s">
        <v>57</v>
      </c>
      <c r="B142" s="2">
        <v>45658</v>
      </c>
      <c r="C142" t="s">
        <v>27</v>
      </c>
      <c r="D142">
        <f t="shared" si="12"/>
        <v>0</v>
      </c>
      <c r="E142">
        <f t="shared" si="13"/>
        <v>0</v>
      </c>
      <c r="F142">
        <f t="shared" si="14"/>
        <v>1</v>
      </c>
      <c r="G142" t="s">
        <v>18</v>
      </c>
      <c r="H142">
        <f t="shared" si="15"/>
        <v>1</v>
      </c>
      <c r="I142">
        <f t="shared" si="16"/>
        <v>0</v>
      </c>
      <c r="J142">
        <f t="shared" si="17"/>
        <v>0</v>
      </c>
      <c r="K142">
        <v>51430.31</v>
      </c>
      <c r="L142">
        <v>6427</v>
      </c>
      <c r="M142">
        <v>0.23400000000000001</v>
      </c>
      <c r="N142">
        <v>14</v>
      </c>
      <c r="O142">
        <v>88.8</v>
      </c>
      <c r="P142">
        <v>0.77</v>
      </c>
      <c r="Q142">
        <v>0</v>
      </c>
      <c r="R142">
        <v>4.0999999999999996</v>
      </c>
      <c r="S142">
        <v>715890.53</v>
      </c>
      <c r="T142">
        <v>109032.15</v>
      </c>
    </row>
    <row r="143" spans="1:20">
      <c r="A143" t="s">
        <v>57</v>
      </c>
      <c r="B143" s="2">
        <v>45689</v>
      </c>
      <c r="C143" t="s">
        <v>27</v>
      </c>
      <c r="D143">
        <f t="shared" si="12"/>
        <v>0</v>
      </c>
      <c r="E143">
        <f t="shared" si="13"/>
        <v>0</v>
      </c>
      <c r="F143">
        <f t="shared" si="14"/>
        <v>1</v>
      </c>
      <c r="G143" t="s">
        <v>18</v>
      </c>
      <c r="H143">
        <f t="shared" si="15"/>
        <v>1</v>
      </c>
      <c r="I143">
        <f t="shared" si="16"/>
        <v>0</v>
      </c>
      <c r="J143">
        <f t="shared" si="17"/>
        <v>0</v>
      </c>
      <c r="K143">
        <v>45706.49</v>
      </c>
      <c r="L143">
        <v>6704</v>
      </c>
      <c r="M143">
        <v>3.7999999999999999E-2</v>
      </c>
      <c r="N143">
        <v>15</v>
      </c>
      <c r="O143">
        <v>94.2</v>
      </c>
      <c r="P143">
        <v>2.92</v>
      </c>
      <c r="Q143">
        <v>0</v>
      </c>
      <c r="R143">
        <v>4.2</v>
      </c>
      <c r="S143">
        <v>715097.57</v>
      </c>
      <c r="T143">
        <v>151875.85999999999</v>
      </c>
    </row>
    <row r="144" spans="1:20">
      <c r="A144" t="s">
        <v>57</v>
      </c>
      <c r="B144" s="2">
        <v>45717</v>
      </c>
      <c r="C144" t="s">
        <v>27</v>
      </c>
      <c r="D144">
        <f t="shared" si="12"/>
        <v>0</v>
      </c>
      <c r="E144">
        <f t="shared" si="13"/>
        <v>0</v>
      </c>
      <c r="F144">
        <f t="shared" si="14"/>
        <v>1</v>
      </c>
      <c r="G144" t="s">
        <v>18</v>
      </c>
      <c r="H144">
        <f t="shared" si="15"/>
        <v>1</v>
      </c>
      <c r="I144">
        <f t="shared" si="16"/>
        <v>0</v>
      </c>
      <c r="J144">
        <f t="shared" si="17"/>
        <v>0</v>
      </c>
      <c r="K144">
        <v>44034.6</v>
      </c>
      <c r="L144">
        <v>5645</v>
      </c>
      <c r="M144">
        <v>6.9000000000000006E-2</v>
      </c>
      <c r="N144">
        <v>18</v>
      </c>
      <c r="O144">
        <v>88.5</v>
      </c>
      <c r="P144">
        <v>3.07</v>
      </c>
      <c r="Q144">
        <v>0</v>
      </c>
      <c r="R144">
        <v>3.8</v>
      </c>
      <c r="S144">
        <v>682639.28</v>
      </c>
      <c r="T144">
        <v>77557.53</v>
      </c>
    </row>
    <row r="145" spans="1:20">
      <c r="A145" t="s">
        <v>57</v>
      </c>
      <c r="B145" s="2">
        <v>45748</v>
      </c>
      <c r="C145" t="s">
        <v>27</v>
      </c>
      <c r="D145">
        <f t="shared" si="12"/>
        <v>0</v>
      </c>
      <c r="E145">
        <f t="shared" si="13"/>
        <v>0</v>
      </c>
      <c r="F145">
        <f t="shared" si="14"/>
        <v>1</v>
      </c>
      <c r="G145" t="s">
        <v>18</v>
      </c>
      <c r="H145">
        <f t="shared" si="15"/>
        <v>1</v>
      </c>
      <c r="I145">
        <f t="shared" si="16"/>
        <v>0</v>
      </c>
      <c r="J145">
        <f t="shared" si="17"/>
        <v>0</v>
      </c>
      <c r="K145">
        <v>50198.12</v>
      </c>
      <c r="L145">
        <v>6089</v>
      </c>
      <c r="M145">
        <v>0.182</v>
      </c>
      <c r="N145">
        <v>19</v>
      </c>
      <c r="O145">
        <v>94</v>
      </c>
      <c r="P145">
        <v>9.6999999999999993</v>
      </c>
      <c r="Q145">
        <v>0</v>
      </c>
      <c r="R145">
        <v>3.9</v>
      </c>
      <c r="S145">
        <v>695098.51</v>
      </c>
      <c r="T145">
        <v>108192.75</v>
      </c>
    </row>
    <row r="146" spans="1:20">
      <c r="A146" t="s">
        <v>58</v>
      </c>
      <c r="B146" s="2">
        <v>45658</v>
      </c>
      <c r="C146" t="s">
        <v>20</v>
      </c>
      <c r="D146">
        <f t="shared" si="12"/>
        <v>1</v>
      </c>
      <c r="E146">
        <f t="shared" si="13"/>
        <v>0</v>
      </c>
      <c r="F146">
        <f t="shared" si="14"/>
        <v>0</v>
      </c>
      <c r="G146" t="s">
        <v>16</v>
      </c>
      <c r="H146">
        <f t="shared" si="15"/>
        <v>0</v>
      </c>
      <c r="I146">
        <f t="shared" si="16"/>
        <v>1</v>
      </c>
      <c r="J146">
        <f t="shared" si="17"/>
        <v>0</v>
      </c>
      <c r="K146">
        <v>70488.2</v>
      </c>
      <c r="L146">
        <v>4312</v>
      </c>
      <c r="M146">
        <v>0.16900000000000001</v>
      </c>
      <c r="N146">
        <v>12</v>
      </c>
      <c r="O146">
        <v>90.2</v>
      </c>
      <c r="P146">
        <v>3.71</v>
      </c>
      <c r="Q146">
        <v>0</v>
      </c>
      <c r="R146">
        <v>3.2</v>
      </c>
      <c r="S146">
        <v>577732.56999999995</v>
      </c>
      <c r="T146">
        <v>93804.27</v>
      </c>
    </row>
    <row r="147" spans="1:20">
      <c r="A147" t="s">
        <v>58</v>
      </c>
      <c r="B147" s="2">
        <v>45689</v>
      </c>
      <c r="C147" t="s">
        <v>20</v>
      </c>
      <c r="D147">
        <f t="shared" si="12"/>
        <v>1</v>
      </c>
      <c r="E147">
        <f t="shared" si="13"/>
        <v>0</v>
      </c>
      <c r="F147">
        <f t="shared" si="14"/>
        <v>0</v>
      </c>
      <c r="G147" t="s">
        <v>16</v>
      </c>
      <c r="H147">
        <f t="shared" si="15"/>
        <v>0</v>
      </c>
      <c r="I147">
        <f t="shared" si="16"/>
        <v>1</v>
      </c>
      <c r="J147">
        <f t="shared" si="17"/>
        <v>0</v>
      </c>
      <c r="K147">
        <v>50909.27</v>
      </c>
      <c r="L147">
        <v>3152</v>
      </c>
      <c r="M147">
        <v>0.06</v>
      </c>
      <c r="N147">
        <v>13</v>
      </c>
      <c r="O147">
        <v>93.7</v>
      </c>
      <c r="P147">
        <v>10.79</v>
      </c>
      <c r="Q147">
        <v>0</v>
      </c>
      <c r="R147">
        <v>3.5</v>
      </c>
      <c r="S147">
        <v>537058.32999999996</v>
      </c>
      <c r="T147">
        <v>93555.71</v>
      </c>
    </row>
    <row r="148" spans="1:20">
      <c r="A148" t="s">
        <v>58</v>
      </c>
      <c r="B148" s="2">
        <v>45717</v>
      </c>
      <c r="C148" t="s">
        <v>20</v>
      </c>
      <c r="D148">
        <f t="shared" si="12"/>
        <v>1</v>
      </c>
      <c r="E148">
        <f t="shared" si="13"/>
        <v>0</v>
      </c>
      <c r="F148">
        <f t="shared" si="14"/>
        <v>0</v>
      </c>
      <c r="G148" t="s">
        <v>16</v>
      </c>
      <c r="H148">
        <f t="shared" si="15"/>
        <v>0</v>
      </c>
      <c r="I148">
        <f t="shared" si="16"/>
        <v>1</v>
      </c>
      <c r="J148">
        <f t="shared" si="17"/>
        <v>0</v>
      </c>
      <c r="K148">
        <v>53351.7</v>
      </c>
      <c r="L148">
        <v>4259</v>
      </c>
      <c r="M148">
        <v>0.156</v>
      </c>
      <c r="N148">
        <v>15</v>
      </c>
      <c r="O148">
        <v>93.7</v>
      </c>
      <c r="P148">
        <v>6.03</v>
      </c>
      <c r="Q148">
        <v>0</v>
      </c>
      <c r="R148">
        <v>3.4</v>
      </c>
      <c r="S148">
        <v>601568.87</v>
      </c>
      <c r="T148">
        <v>91634.82</v>
      </c>
    </row>
    <row r="149" spans="1:20">
      <c r="A149" t="s">
        <v>58</v>
      </c>
      <c r="B149" s="2">
        <v>45748</v>
      </c>
      <c r="C149" t="s">
        <v>20</v>
      </c>
      <c r="D149">
        <f t="shared" si="12"/>
        <v>1</v>
      </c>
      <c r="E149">
        <f t="shared" si="13"/>
        <v>0</v>
      </c>
      <c r="F149">
        <f t="shared" si="14"/>
        <v>0</v>
      </c>
      <c r="G149" t="s">
        <v>16</v>
      </c>
      <c r="H149">
        <f t="shared" si="15"/>
        <v>0</v>
      </c>
      <c r="I149">
        <f t="shared" si="16"/>
        <v>1</v>
      </c>
      <c r="J149">
        <f t="shared" si="17"/>
        <v>0</v>
      </c>
      <c r="K149">
        <v>60322.400000000001</v>
      </c>
      <c r="L149">
        <v>3350</v>
      </c>
      <c r="M149">
        <v>0.108</v>
      </c>
      <c r="N149">
        <v>12</v>
      </c>
      <c r="O149">
        <v>89.4</v>
      </c>
      <c r="P149">
        <v>4.92</v>
      </c>
      <c r="Q149">
        <v>0</v>
      </c>
      <c r="R149">
        <v>3.4</v>
      </c>
      <c r="S149">
        <v>570964.84</v>
      </c>
      <c r="T149">
        <v>81331.070000000007</v>
      </c>
    </row>
    <row r="150" spans="1:20">
      <c r="A150" t="s">
        <v>59</v>
      </c>
      <c r="B150" s="2">
        <v>45658</v>
      </c>
      <c r="C150" t="s">
        <v>24</v>
      </c>
      <c r="D150">
        <f t="shared" si="12"/>
        <v>0</v>
      </c>
      <c r="E150">
        <f t="shared" si="13"/>
        <v>1</v>
      </c>
      <c r="F150">
        <f t="shared" si="14"/>
        <v>0</v>
      </c>
      <c r="G150" t="s">
        <v>28</v>
      </c>
      <c r="H150">
        <f t="shared" si="15"/>
        <v>0</v>
      </c>
      <c r="I150">
        <f t="shared" si="16"/>
        <v>0</v>
      </c>
      <c r="J150">
        <f t="shared" si="17"/>
        <v>0</v>
      </c>
      <c r="K150">
        <v>51575.68</v>
      </c>
      <c r="L150">
        <v>5329</v>
      </c>
      <c r="M150">
        <v>4.7E-2</v>
      </c>
      <c r="N150">
        <v>17</v>
      </c>
      <c r="O150">
        <v>88.1</v>
      </c>
      <c r="P150">
        <v>19.78</v>
      </c>
      <c r="Q150">
        <v>0</v>
      </c>
      <c r="R150">
        <v>3.8</v>
      </c>
      <c r="S150">
        <v>614024.91</v>
      </c>
      <c r="T150">
        <v>84828.93</v>
      </c>
    </row>
    <row r="151" spans="1:20">
      <c r="A151" t="s">
        <v>59</v>
      </c>
      <c r="B151" s="2">
        <v>45689</v>
      </c>
      <c r="C151" t="s">
        <v>24</v>
      </c>
      <c r="D151">
        <f t="shared" si="12"/>
        <v>0</v>
      </c>
      <c r="E151">
        <f t="shared" si="13"/>
        <v>1</v>
      </c>
      <c r="F151">
        <f t="shared" si="14"/>
        <v>0</v>
      </c>
      <c r="G151" t="s">
        <v>28</v>
      </c>
      <c r="H151">
        <f t="shared" si="15"/>
        <v>0</v>
      </c>
      <c r="I151">
        <f t="shared" si="16"/>
        <v>0</v>
      </c>
      <c r="J151">
        <f t="shared" si="17"/>
        <v>0</v>
      </c>
      <c r="K151">
        <v>43319.94</v>
      </c>
      <c r="L151">
        <v>6551</v>
      </c>
      <c r="M151">
        <v>4.3999999999999997E-2</v>
      </c>
      <c r="N151">
        <v>13</v>
      </c>
      <c r="O151">
        <v>99</v>
      </c>
      <c r="P151">
        <v>5.45</v>
      </c>
      <c r="Q151">
        <v>0</v>
      </c>
      <c r="R151">
        <v>4.0999999999999996</v>
      </c>
      <c r="S151">
        <v>712868.35</v>
      </c>
      <c r="T151">
        <v>133650.51</v>
      </c>
    </row>
    <row r="152" spans="1:20">
      <c r="A152" t="s">
        <v>59</v>
      </c>
      <c r="B152" s="2">
        <v>45717</v>
      </c>
      <c r="C152" t="s">
        <v>24</v>
      </c>
      <c r="D152">
        <f t="shared" si="12"/>
        <v>0</v>
      </c>
      <c r="E152">
        <f t="shared" si="13"/>
        <v>1</v>
      </c>
      <c r="F152">
        <f t="shared" si="14"/>
        <v>0</v>
      </c>
      <c r="G152" t="s">
        <v>28</v>
      </c>
      <c r="H152">
        <f t="shared" si="15"/>
        <v>0</v>
      </c>
      <c r="I152">
        <f t="shared" si="16"/>
        <v>0</v>
      </c>
      <c r="J152">
        <f t="shared" si="17"/>
        <v>0</v>
      </c>
      <c r="K152">
        <v>47093.55</v>
      </c>
      <c r="L152">
        <v>5550</v>
      </c>
      <c r="M152">
        <v>0.1</v>
      </c>
      <c r="N152">
        <v>12</v>
      </c>
      <c r="O152">
        <v>95</v>
      </c>
      <c r="P152">
        <v>2.33</v>
      </c>
      <c r="Q152">
        <v>1</v>
      </c>
      <c r="R152">
        <v>3.7</v>
      </c>
      <c r="S152">
        <v>696744.15</v>
      </c>
      <c r="T152">
        <v>152230.09</v>
      </c>
    </row>
    <row r="153" spans="1:20">
      <c r="A153" t="s">
        <v>59</v>
      </c>
      <c r="B153" s="2">
        <v>45748</v>
      </c>
      <c r="C153" t="s">
        <v>24</v>
      </c>
      <c r="D153">
        <f t="shared" si="12"/>
        <v>0</v>
      </c>
      <c r="E153">
        <f t="shared" si="13"/>
        <v>1</v>
      </c>
      <c r="F153">
        <f t="shared" si="14"/>
        <v>0</v>
      </c>
      <c r="G153" t="s">
        <v>28</v>
      </c>
      <c r="H153">
        <f t="shared" si="15"/>
        <v>0</v>
      </c>
      <c r="I153">
        <f t="shared" si="16"/>
        <v>0</v>
      </c>
      <c r="J153">
        <f t="shared" si="17"/>
        <v>0</v>
      </c>
      <c r="K153">
        <v>71855.09</v>
      </c>
      <c r="L153">
        <v>5911</v>
      </c>
      <c r="M153">
        <v>0.19700000000000001</v>
      </c>
      <c r="N153">
        <v>15</v>
      </c>
      <c r="O153">
        <v>94.3</v>
      </c>
      <c r="P153">
        <v>3.55</v>
      </c>
      <c r="Q153">
        <v>0</v>
      </c>
      <c r="R153">
        <v>4.0999999999999996</v>
      </c>
      <c r="S153">
        <v>725847.99</v>
      </c>
      <c r="T153">
        <v>122698.73</v>
      </c>
    </row>
    <row r="154" spans="1:20">
      <c r="A154" t="s">
        <v>60</v>
      </c>
      <c r="B154" s="2">
        <v>45658</v>
      </c>
      <c r="C154" t="s">
        <v>15</v>
      </c>
      <c r="D154">
        <f t="shared" si="12"/>
        <v>0</v>
      </c>
      <c r="E154">
        <f t="shared" si="13"/>
        <v>0</v>
      </c>
      <c r="F154">
        <f t="shared" si="14"/>
        <v>0</v>
      </c>
      <c r="G154" t="s">
        <v>18</v>
      </c>
      <c r="H154">
        <f t="shared" si="15"/>
        <v>1</v>
      </c>
      <c r="I154">
        <f t="shared" si="16"/>
        <v>0</v>
      </c>
      <c r="J154">
        <f t="shared" si="17"/>
        <v>0</v>
      </c>
      <c r="K154">
        <v>75645.23</v>
      </c>
      <c r="L154">
        <v>9674</v>
      </c>
      <c r="M154">
        <v>0.23400000000000001</v>
      </c>
      <c r="N154">
        <v>21</v>
      </c>
      <c r="O154">
        <v>87.4</v>
      </c>
      <c r="P154">
        <v>0.2</v>
      </c>
      <c r="Q154">
        <v>0</v>
      </c>
      <c r="R154">
        <v>4.5</v>
      </c>
      <c r="S154">
        <v>785028.25</v>
      </c>
      <c r="T154">
        <v>110726.44</v>
      </c>
    </row>
    <row r="155" spans="1:20">
      <c r="A155" t="s">
        <v>60</v>
      </c>
      <c r="B155" s="2">
        <v>45689</v>
      </c>
      <c r="C155" t="s">
        <v>15</v>
      </c>
      <c r="D155">
        <f t="shared" si="12"/>
        <v>0</v>
      </c>
      <c r="E155">
        <f t="shared" si="13"/>
        <v>0</v>
      </c>
      <c r="F155">
        <f t="shared" si="14"/>
        <v>0</v>
      </c>
      <c r="G155" t="s">
        <v>18</v>
      </c>
      <c r="H155">
        <f t="shared" si="15"/>
        <v>1</v>
      </c>
      <c r="I155">
        <f t="shared" si="16"/>
        <v>0</v>
      </c>
      <c r="J155">
        <f t="shared" si="17"/>
        <v>0</v>
      </c>
      <c r="K155">
        <v>64374.75</v>
      </c>
      <c r="L155">
        <v>6740</v>
      </c>
      <c r="M155">
        <v>0.16900000000000001</v>
      </c>
      <c r="N155">
        <v>18</v>
      </c>
      <c r="O155">
        <v>87</v>
      </c>
      <c r="P155">
        <v>2.09</v>
      </c>
      <c r="Q155">
        <v>0</v>
      </c>
      <c r="R155">
        <v>4.2</v>
      </c>
      <c r="S155">
        <v>698492.67</v>
      </c>
      <c r="T155">
        <v>117319.32</v>
      </c>
    </row>
    <row r="156" spans="1:20">
      <c r="A156" t="s">
        <v>60</v>
      </c>
      <c r="B156" s="2">
        <v>45717</v>
      </c>
      <c r="C156" t="s">
        <v>15</v>
      </c>
      <c r="D156">
        <f t="shared" si="12"/>
        <v>0</v>
      </c>
      <c r="E156">
        <f t="shared" si="13"/>
        <v>0</v>
      </c>
      <c r="F156">
        <f t="shared" si="14"/>
        <v>0</v>
      </c>
      <c r="G156" t="s">
        <v>18</v>
      </c>
      <c r="H156">
        <f t="shared" si="15"/>
        <v>1</v>
      </c>
      <c r="I156">
        <f t="shared" si="16"/>
        <v>0</v>
      </c>
      <c r="J156">
        <f t="shared" si="17"/>
        <v>0</v>
      </c>
      <c r="K156">
        <v>61433.84</v>
      </c>
      <c r="L156">
        <v>7745</v>
      </c>
      <c r="M156">
        <v>0.18</v>
      </c>
      <c r="N156">
        <v>16</v>
      </c>
      <c r="O156">
        <v>90.5</v>
      </c>
      <c r="P156">
        <v>2.2599999999999998</v>
      </c>
      <c r="Q156">
        <v>0</v>
      </c>
      <c r="R156">
        <v>4.2</v>
      </c>
      <c r="S156">
        <v>685830.24</v>
      </c>
      <c r="T156">
        <v>128736.18</v>
      </c>
    </row>
    <row r="157" spans="1:20">
      <c r="A157" t="s">
        <v>60</v>
      </c>
      <c r="B157" s="2">
        <v>45748</v>
      </c>
      <c r="C157" t="s">
        <v>15</v>
      </c>
      <c r="D157">
        <f t="shared" si="12"/>
        <v>0</v>
      </c>
      <c r="E157">
        <f t="shared" si="13"/>
        <v>0</v>
      </c>
      <c r="F157">
        <f t="shared" si="14"/>
        <v>0</v>
      </c>
      <c r="G157" t="s">
        <v>18</v>
      </c>
      <c r="H157">
        <f t="shared" si="15"/>
        <v>1</v>
      </c>
      <c r="I157">
        <f t="shared" si="16"/>
        <v>0</v>
      </c>
      <c r="J157">
        <f t="shared" si="17"/>
        <v>0</v>
      </c>
      <c r="K157">
        <v>42698.14</v>
      </c>
      <c r="L157">
        <v>7693</v>
      </c>
      <c r="M157">
        <v>0.187</v>
      </c>
      <c r="N157">
        <v>19</v>
      </c>
      <c r="O157">
        <v>90.1</v>
      </c>
      <c r="P157">
        <v>0.44</v>
      </c>
      <c r="Q157">
        <v>0</v>
      </c>
      <c r="R157">
        <v>4.4000000000000004</v>
      </c>
      <c r="S157">
        <v>702318.94</v>
      </c>
      <c r="T157">
        <v>112829.29</v>
      </c>
    </row>
    <row r="158" spans="1:20">
      <c r="A158" t="s">
        <v>61</v>
      </c>
      <c r="B158" s="2">
        <v>45658</v>
      </c>
      <c r="C158" t="s">
        <v>20</v>
      </c>
      <c r="D158">
        <f t="shared" si="12"/>
        <v>1</v>
      </c>
      <c r="E158">
        <f t="shared" si="13"/>
        <v>0</v>
      </c>
      <c r="F158">
        <f t="shared" si="14"/>
        <v>0</v>
      </c>
      <c r="G158" t="s">
        <v>28</v>
      </c>
      <c r="H158">
        <f t="shared" si="15"/>
        <v>0</v>
      </c>
      <c r="I158">
        <f t="shared" si="16"/>
        <v>0</v>
      </c>
      <c r="J158">
        <f t="shared" si="17"/>
        <v>0</v>
      </c>
      <c r="K158">
        <v>86883.31</v>
      </c>
      <c r="L158">
        <v>6424</v>
      </c>
      <c r="M158">
        <v>5.7000000000000002E-2</v>
      </c>
      <c r="N158">
        <v>19</v>
      </c>
      <c r="O158">
        <v>85.2</v>
      </c>
      <c r="P158">
        <v>3.08</v>
      </c>
      <c r="Q158">
        <v>0</v>
      </c>
      <c r="R158">
        <v>3.9</v>
      </c>
      <c r="S158">
        <v>700078.32</v>
      </c>
      <c r="T158">
        <v>123707.58</v>
      </c>
    </row>
    <row r="159" spans="1:20">
      <c r="A159" t="s">
        <v>61</v>
      </c>
      <c r="B159" s="2">
        <v>45689</v>
      </c>
      <c r="C159" t="s">
        <v>20</v>
      </c>
      <c r="D159">
        <f t="shared" si="12"/>
        <v>1</v>
      </c>
      <c r="E159">
        <f t="shared" si="13"/>
        <v>0</v>
      </c>
      <c r="F159">
        <f t="shared" si="14"/>
        <v>0</v>
      </c>
      <c r="G159" t="s">
        <v>28</v>
      </c>
      <c r="H159">
        <f t="shared" si="15"/>
        <v>0</v>
      </c>
      <c r="I159">
        <f t="shared" si="16"/>
        <v>0</v>
      </c>
      <c r="J159">
        <f t="shared" si="17"/>
        <v>0</v>
      </c>
      <c r="K159">
        <v>41863.08</v>
      </c>
      <c r="L159">
        <v>5400</v>
      </c>
      <c r="M159">
        <v>0.114</v>
      </c>
      <c r="N159">
        <v>11</v>
      </c>
      <c r="O159">
        <v>91.6</v>
      </c>
      <c r="P159">
        <v>7.99</v>
      </c>
      <c r="Q159">
        <v>0</v>
      </c>
      <c r="R159">
        <v>3</v>
      </c>
      <c r="S159">
        <v>602002.31999999995</v>
      </c>
      <c r="T159">
        <v>110453.28</v>
      </c>
    </row>
    <row r="160" spans="1:20">
      <c r="A160" t="s">
        <v>61</v>
      </c>
      <c r="B160" s="2">
        <v>45717</v>
      </c>
      <c r="C160" t="s">
        <v>20</v>
      </c>
      <c r="D160">
        <f t="shared" si="12"/>
        <v>1</v>
      </c>
      <c r="E160">
        <f t="shared" si="13"/>
        <v>0</v>
      </c>
      <c r="F160">
        <f t="shared" si="14"/>
        <v>0</v>
      </c>
      <c r="G160" t="s">
        <v>28</v>
      </c>
      <c r="H160">
        <f t="shared" si="15"/>
        <v>0</v>
      </c>
      <c r="I160">
        <f t="shared" si="16"/>
        <v>0</v>
      </c>
      <c r="J160">
        <f t="shared" si="17"/>
        <v>0</v>
      </c>
      <c r="K160">
        <v>56918.16</v>
      </c>
      <c r="L160">
        <v>7015</v>
      </c>
      <c r="M160">
        <v>0.158</v>
      </c>
      <c r="N160">
        <v>18</v>
      </c>
      <c r="O160">
        <v>74.2</v>
      </c>
      <c r="P160">
        <v>0.2</v>
      </c>
      <c r="Q160">
        <v>0</v>
      </c>
      <c r="R160">
        <v>3.4</v>
      </c>
      <c r="S160">
        <v>724216.07</v>
      </c>
      <c r="T160">
        <v>100627.56</v>
      </c>
    </row>
    <row r="161" spans="1:20">
      <c r="A161" t="s">
        <v>61</v>
      </c>
      <c r="B161" s="2">
        <v>45748</v>
      </c>
      <c r="C161" t="s">
        <v>20</v>
      </c>
      <c r="D161">
        <f t="shared" si="12"/>
        <v>1</v>
      </c>
      <c r="E161">
        <f t="shared" si="13"/>
        <v>0</v>
      </c>
      <c r="F161">
        <f t="shared" si="14"/>
        <v>0</v>
      </c>
      <c r="G161" t="s">
        <v>28</v>
      </c>
      <c r="H161">
        <f t="shared" si="15"/>
        <v>0</v>
      </c>
      <c r="I161">
        <f t="shared" si="16"/>
        <v>0</v>
      </c>
      <c r="J161">
        <f t="shared" si="17"/>
        <v>0</v>
      </c>
      <c r="K161">
        <v>23254.57</v>
      </c>
      <c r="L161">
        <v>3847</v>
      </c>
      <c r="M161">
        <v>0.159</v>
      </c>
      <c r="N161">
        <v>12</v>
      </c>
      <c r="O161">
        <v>93</v>
      </c>
      <c r="P161">
        <v>5.46</v>
      </c>
      <c r="Q161">
        <v>0</v>
      </c>
      <c r="R161">
        <v>3.3</v>
      </c>
      <c r="S161">
        <v>620973.03</v>
      </c>
      <c r="T161">
        <v>72303.850000000006</v>
      </c>
    </row>
    <row r="162" spans="1:20">
      <c r="A162" t="s">
        <v>62</v>
      </c>
      <c r="B162" s="2">
        <v>45658</v>
      </c>
      <c r="C162" t="s">
        <v>24</v>
      </c>
      <c r="D162">
        <f t="shared" si="12"/>
        <v>0</v>
      </c>
      <c r="E162">
        <f t="shared" si="13"/>
        <v>1</v>
      </c>
      <c r="F162">
        <f t="shared" si="14"/>
        <v>0</v>
      </c>
      <c r="G162" t="s">
        <v>18</v>
      </c>
      <c r="H162">
        <f t="shared" si="15"/>
        <v>1</v>
      </c>
      <c r="I162">
        <f t="shared" si="16"/>
        <v>0</v>
      </c>
      <c r="J162">
        <f t="shared" si="17"/>
        <v>0</v>
      </c>
      <c r="K162">
        <v>41443.410000000003</v>
      </c>
      <c r="L162">
        <v>7455</v>
      </c>
      <c r="M162">
        <v>0.17499999999999999</v>
      </c>
      <c r="N162">
        <v>16</v>
      </c>
      <c r="O162">
        <v>90.1</v>
      </c>
      <c r="P162">
        <v>4.05</v>
      </c>
      <c r="Q162">
        <v>0</v>
      </c>
      <c r="R162">
        <v>4</v>
      </c>
      <c r="S162">
        <v>650480.06000000006</v>
      </c>
      <c r="T162">
        <v>109012.07</v>
      </c>
    </row>
    <row r="163" spans="1:20">
      <c r="A163" t="s">
        <v>62</v>
      </c>
      <c r="B163" s="2">
        <v>45689</v>
      </c>
      <c r="C163" t="s">
        <v>24</v>
      </c>
      <c r="D163">
        <f t="shared" si="12"/>
        <v>0</v>
      </c>
      <c r="E163">
        <f t="shared" si="13"/>
        <v>1</v>
      </c>
      <c r="F163">
        <f t="shared" si="14"/>
        <v>0</v>
      </c>
      <c r="G163" t="s">
        <v>18</v>
      </c>
      <c r="H163">
        <f t="shared" si="15"/>
        <v>1</v>
      </c>
      <c r="I163">
        <f t="shared" si="16"/>
        <v>0</v>
      </c>
      <c r="J163">
        <f t="shared" si="17"/>
        <v>0</v>
      </c>
      <c r="K163">
        <v>48438.85</v>
      </c>
      <c r="L163">
        <v>6992</v>
      </c>
      <c r="M163">
        <v>3.4000000000000002E-2</v>
      </c>
      <c r="N163">
        <v>20</v>
      </c>
      <c r="O163">
        <v>91</v>
      </c>
      <c r="P163">
        <v>4.3600000000000003</v>
      </c>
      <c r="Q163">
        <v>0</v>
      </c>
      <c r="R163">
        <v>4.2</v>
      </c>
      <c r="S163">
        <v>778298.88</v>
      </c>
      <c r="T163">
        <v>130076.72</v>
      </c>
    </row>
    <row r="164" spans="1:20">
      <c r="A164" t="s">
        <v>62</v>
      </c>
      <c r="B164" s="2">
        <v>45717</v>
      </c>
      <c r="C164" t="s">
        <v>24</v>
      </c>
      <c r="D164">
        <f t="shared" si="12"/>
        <v>0</v>
      </c>
      <c r="E164">
        <f t="shared" si="13"/>
        <v>1</v>
      </c>
      <c r="F164">
        <f t="shared" si="14"/>
        <v>0</v>
      </c>
      <c r="G164" t="s">
        <v>18</v>
      </c>
      <c r="H164">
        <f t="shared" si="15"/>
        <v>1</v>
      </c>
      <c r="I164">
        <f t="shared" si="16"/>
        <v>0</v>
      </c>
      <c r="J164">
        <f t="shared" si="17"/>
        <v>0</v>
      </c>
      <c r="K164">
        <v>57143.3</v>
      </c>
      <c r="L164">
        <v>8038</v>
      </c>
      <c r="M164">
        <v>0.193</v>
      </c>
      <c r="N164">
        <v>17</v>
      </c>
      <c r="O164">
        <v>72.599999999999994</v>
      </c>
      <c r="P164">
        <v>3.3650000000000002</v>
      </c>
      <c r="Q164">
        <v>0</v>
      </c>
      <c r="R164">
        <v>4.2</v>
      </c>
      <c r="S164">
        <v>677096.71</v>
      </c>
      <c r="T164">
        <v>97174.11</v>
      </c>
    </row>
    <row r="165" spans="1:20">
      <c r="A165" t="s">
        <v>62</v>
      </c>
      <c r="B165" s="2">
        <v>45748</v>
      </c>
      <c r="C165" t="s">
        <v>24</v>
      </c>
      <c r="D165">
        <f t="shared" si="12"/>
        <v>0</v>
      </c>
      <c r="E165">
        <f t="shared" si="13"/>
        <v>1</v>
      </c>
      <c r="F165">
        <f t="shared" si="14"/>
        <v>0</v>
      </c>
      <c r="G165" t="s">
        <v>18</v>
      </c>
      <c r="H165">
        <f t="shared" si="15"/>
        <v>1</v>
      </c>
      <c r="I165">
        <f t="shared" si="16"/>
        <v>0</v>
      </c>
      <c r="J165">
        <f t="shared" si="17"/>
        <v>0</v>
      </c>
      <c r="K165">
        <v>66870.62</v>
      </c>
      <c r="L165">
        <v>6055</v>
      </c>
      <c r="M165">
        <v>7.4999999999999997E-2</v>
      </c>
      <c r="N165">
        <v>19</v>
      </c>
      <c r="O165">
        <v>93.8</v>
      </c>
      <c r="P165">
        <v>0.54</v>
      </c>
      <c r="Q165">
        <v>0</v>
      </c>
      <c r="R165">
        <v>4.3</v>
      </c>
      <c r="S165">
        <v>692008.64</v>
      </c>
      <c r="T165">
        <v>116337.87</v>
      </c>
    </row>
    <row r="166" spans="1:20">
      <c r="A166" t="s">
        <v>63</v>
      </c>
      <c r="B166" s="2">
        <v>45658</v>
      </c>
      <c r="C166" t="s">
        <v>20</v>
      </c>
      <c r="D166">
        <f t="shared" si="12"/>
        <v>1</v>
      </c>
      <c r="E166">
        <f t="shared" si="13"/>
        <v>0</v>
      </c>
      <c r="F166">
        <f t="shared" si="14"/>
        <v>0</v>
      </c>
      <c r="G166" t="s">
        <v>28</v>
      </c>
      <c r="H166">
        <f t="shared" si="15"/>
        <v>0</v>
      </c>
      <c r="I166">
        <f t="shared" si="16"/>
        <v>0</v>
      </c>
      <c r="J166">
        <f t="shared" si="17"/>
        <v>0</v>
      </c>
      <c r="K166">
        <v>72150.53</v>
      </c>
      <c r="L166">
        <v>9323</v>
      </c>
      <c r="M166">
        <v>0.157</v>
      </c>
      <c r="N166">
        <v>22</v>
      </c>
      <c r="O166">
        <v>82.9</v>
      </c>
      <c r="P166">
        <v>11.37</v>
      </c>
      <c r="Q166">
        <v>1</v>
      </c>
      <c r="R166">
        <v>4.3</v>
      </c>
      <c r="S166">
        <v>825797.91</v>
      </c>
      <c r="T166">
        <v>130945.24</v>
      </c>
    </row>
    <row r="167" spans="1:20">
      <c r="A167" t="s">
        <v>63</v>
      </c>
      <c r="B167" s="2">
        <v>45689</v>
      </c>
      <c r="C167" t="s">
        <v>20</v>
      </c>
      <c r="D167">
        <f t="shared" si="12"/>
        <v>1</v>
      </c>
      <c r="E167">
        <f t="shared" si="13"/>
        <v>0</v>
      </c>
      <c r="F167">
        <f t="shared" si="14"/>
        <v>0</v>
      </c>
      <c r="G167" t="s">
        <v>28</v>
      </c>
      <c r="H167">
        <f t="shared" si="15"/>
        <v>0</v>
      </c>
      <c r="I167">
        <f t="shared" si="16"/>
        <v>0</v>
      </c>
      <c r="J167">
        <f t="shared" si="17"/>
        <v>0</v>
      </c>
      <c r="K167">
        <v>35303.300000000003</v>
      </c>
      <c r="L167">
        <v>8789</v>
      </c>
      <c r="M167">
        <v>0.123</v>
      </c>
      <c r="N167">
        <v>22</v>
      </c>
      <c r="O167">
        <v>86.1</v>
      </c>
      <c r="P167">
        <v>9.43</v>
      </c>
      <c r="Q167">
        <v>0</v>
      </c>
      <c r="R167">
        <v>4.2</v>
      </c>
      <c r="S167">
        <v>706285.52</v>
      </c>
      <c r="T167">
        <v>138014.72</v>
      </c>
    </row>
    <row r="168" spans="1:20">
      <c r="A168" t="s">
        <v>63</v>
      </c>
      <c r="B168" s="2">
        <v>45717</v>
      </c>
      <c r="C168" t="s">
        <v>20</v>
      </c>
      <c r="D168">
        <f t="shared" si="12"/>
        <v>1</v>
      </c>
      <c r="E168">
        <f t="shared" si="13"/>
        <v>0</v>
      </c>
      <c r="F168">
        <f t="shared" si="14"/>
        <v>0</v>
      </c>
      <c r="G168" t="s">
        <v>28</v>
      </c>
      <c r="H168">
        <f t="shared" si="15"/>
        <v>0</v>
      </c>
      <c r="I168">
        <f t="shared" si="16"/>
        <v>0</v>
      </c>
      <c r="J168">
        <f t="shared" si="17"/>
        <v>0</v>
      </c>
      <c r="K168">
        <v>30301.86</v>
      </c>
      <c r="L168">
        <v>6939</v>
      </c>
      <c r="M168">
        <v>0.09</v>
      </c>
      <c r="N168">
        <v>16</v>
      </c>
      <c r="O168">
        <v>90.3</v>
      </c>
      <c r="P168">
        <v>3.49</v>
      </c>
      <c r="Q168">
        <v>0</v>
      </c>
      <c r="R168">
        <v>4</v>
      </c>
      <c r="S168">
        <v>665534.69999999995</v>
      </c>
      <c r="T168">
        <v>113167.73</v>
      </c>
    </row>
    <row r="169" spans="1:20">
      <c r="A169" t="s">
        <v>63</v>
      </c>
      <c r="B169" s="2">
        <v>45748</v>
      </c>
      <c r="C169" t="s">
        <v>20</v>
      </c>
      <c r="D169">
        <f t="shared" si="12"/>
        <v>1</v>
      </c>
      <c r="E169">
        <f t="shared" si="13"/>
        <v>0</v>
      </c>
      <c r="F169">
        <f t="shared" si="14"/>
        <v>0</v>
      </c>
      <c r="G169" t="s">
        <v>28</v>
      </c>
      <c r="H169">
        <f t="shared" si="15"/>
        <v>0</v>
      </c>
      <c r="I169">
        <f t="shared" si="16"/>
        <v>0</v>
      </c>
      <c r="J169">
        <f t="shared" si="17"/>
        <v>0</v>
      </c>
      <c r="K169">
        <v>78432.14</v>
      </c>
      <c r="L169">
        <v>9440</v>
      </c>
      <c r="M169">
        <v>0.126</v>
      </c>
      <c r="N169">
        <v>23</v>
      </c>
      <c r="O169">
        <v>89.2</v>
      </c>
      <c r="P169">
        <v>7.86</v>
      </c>
      <c r="Q169">
        <v>0</v>
      </c>
      <c r="R169">
        <v>4.0999999999999996</v>
      </c>
      <c r="S169">
        <v>820729.29</v>
      </c>
      <c r="T169">
        <v>159325.47</v>
      </c>
    </row>
    <row r="170" spans="1:20">
      <c r="A170" t="s">
        <v>64</v>
      </c>
      <c r="B170" s="2">
        <v>45658</v>
      </c>
      <c r="C170" t="s">
        <v>15</v>
      </c>
      <c r="D170">
        <f t="shared" si="12"/>
        <v>0</v>
      </c>
      <c r="E170">
        <f t="shared" si="13"/>
        <v>0</v>
      </c>
      <c r="F170">
        <f t="shared" si="14"/>
        <v>0</v>
      </c>
      <c r="G170" t="s">
        <v>16</v>
      </c>
      <c r="H170">
        <f t="shared" si="15"/>
        <v>0</v>
      </c>
      <c r="I170">
        <f t="shared" si="16"/>
        <v>1</v>
      </c>
      <c r="J170">
        <f t="shared" si="17"/>
        <v>0</v>
      </c>
      <c r="K170">
        <v>62059.18</v>
      </c>
      <c r="L170">
        <v>9374</v>
      </c>
      <c r="M170">
        <v>0.13600000000000001</v>
      </c>
      <c r="N170">
        <v>25</v>
      </c>
      <c r="O170">
        <v>87.1</v>
      </c>
      <c r="P170">
        <v>12.55</v>
      </c>
      <c r="Q170">
        <v>0</v>
      </c>
      <c r="R170">
        <v>4.9000000000000004</v>
      </c>
      <c r="S170">
        <v>739831.73</v>
      </c>
      <c r="T170">
        <v>119490.21</v>
      </c>
    </row>
    <row r="171" spans="1:20">
      <c r="A171" t="s">
        <v>64</v>
      </c>
      <c r="B171" s="2">
        <v>45689</v>
      </c>
      <c r="C171" t="s">
        <v>15</v>
      </c>
      <c r="D171">
        <f t="shared" si="12"/>
        <v>0</v>
      </c>
      <c r="E171">
        <f t="shared" si="13"/>
        <v>0</v>
      </c>
      <c r="F171">
        <f t="shared" si="14"/>
        <v>0</v>
      </c>
      <c r="G171" t="s">
        <v>16</v>
      </c>
      <c r="H171">
        <f t="shared" si="15"/>
        <v>0</v>
      </c>
      <c r="I171">
        <f t="shared" si="16"/>
        <v>1</v>
      </c>
      <c r="J171">
        <f t="shared" si="17"/>
        <v>0</v>
      </c>
      <c r="K171">
        <v>32834.480000000003</v>
      </c>
      <c r="L171">
        <v>7576</v>
      </c>
      <c r="M171">
        <v>9.9000000000000005E-2</v>
      </c>
      <c r="N171">
        <v>15</v>
      </c>
      <c r="O171">
        <v>84.1</v>
      </c>
      <c r="P171">
        <v>3.48</v>
      </c>
      <c r="Q171">
        <v>0</v>
      </c>
      <c r="R171">
        <v>5</v>
      </c>
      <c r="S171">
        <v>593637.14</v>
      </c>
      <c r="T171">
        <v>106648.14</v>
      </c>
    </row>
    <row r="172" spans="1:20">
      <c r="A172" t="s">
        <v>64</v>
      </c>
      <c r="B172" s="2">
        <v>45717</v>
      </c>
      <c r="C172" t="s">
        <v>15</v>
      </c>
      <c r="D172">
        <f t="shared" si="12"/>
        <v>0</v>
      </c>
      <c r="E172">
        <f t="shared" si="13"/>
        <v>0</v>
      </c>
      <c r="F172">
        <f t="shared" si="14"/>
        <v>0</v>
      </c>
      <c r="G172" t="s">
        <v>16</v>
      </c>
      <c r="H172">
        <f t="shared" si="15"/>
        <v>0</v>
      </c>
      <c r="I172">
        <f t="shared" si="16"/>
        <v>1</v>
      </c>
      <c r="J172">
        <f t="shared" si="17"/>
        <v>0</v>
      </c>
      <c r="K172">
        <v>50825.08</v>
      </c>
      <c r="L172">
        <v>8949</v>
      </c>
      <c r="M172">
        <v>0.157</v>
      </c>
      <c r="N172">
        <v>21</v>
      </c>
      <c r="O172">
        <v>84.7</v>
      </c>
      <c r="P172">
        <v>7.73</v>
      </c>
      <c r="Q172">
        <v>0</v>
      </c>
      <c r="R172">
        <v>4.9000000000000004</v>
      </c>
      <c r="S172">
        <v>769702.76</v>
      </c>
      <c r="T172">
        <v>158697</v>
      </c>
    </row>
    <row r="173" spans="1:20">
      <c r="A173" t="s">
        <v>64</v>
      </c>
      <c r="B173" s="2">
        <v>45748</v>
      </c>
      <c r="C173" t="s">
        <v>15</v>
      </c>
      <c r="D173">
        <f t="shared" si="12"/>
        <v>0</v>
      </c>
      <c r="E173">
        <f t="shared" si="13"/>
        <v>0</v>
      </c>
      <c r="F173">
        <f t="shared" si="14"/>
        <v>0</v>
      </c>
      <c r="G173" t="s">
        <v>16</v>
      </c>
      <c r="H173">
        <f t="shared" si="15"/>
        <v>0</v>
      </c>
      <c r="I173">
        <f t="shared" si="16"/>
        <v>1</v>
      </c>
      <c r="J173">
        <f t="shared" si="17"/>
        <v>0</v>
      </c>
      <c r="K173">
        <v>36606.51</v>
      </c>
      <c r="L173">
        <v>7671</v>
      </c>
      <c r="M173">
        <v>0.11799999999999999</v>
      </c>
      <c r="N173">
        <v>18</v>
      </c>
      <c r="O173">
        <v>89.8</v>
      </c>
      <c r="P173">
        <v>0.25</v>
      </c>
      <c r="Q173">
        <v>0</v>
      </c>
      <c r="R173">
        <v>4.4000000000000004</v>
      </c>
      <c r="S173">
        <v>679731.57</v>
      </c>
      <c r="T173">
        <v>121546.42</v>
      </c>
    </row>
    <row r="174" spans="1:20">
      <c r="A174" t="s">
        <v>65</v>
      </c>
      <c r="B174" s="2">
        <v>45658</v>
      </c>
      <c r="C174" t="s">
        <v>15</v>
      </c>
      <c r="D174">
        <f t="shared" si="12"/>
        <v>0</v>
      </c>
      <c r="E174">
        <f t="shared" si="13"/>
        <v>0</v>
      </c>
      <c r="F174">
        <f t="shared" si="14"/>
        <v>0</v>
      </c>
      <c r="G174" t="s">
        <v>16</v>
      </c>
      <c r="H174">
        <f t="shared" si="15"/>
        <v>0</v>
      </c>
      <c r="I174">
        <f t="shared" si="16"/>
        <v>1</v>
      </c>
      <c r="J174">
        <f t="shared" si="17"/>
        <v>0</v>
      </c>
      <c r="K174">
        <v>65237.79</v>
      </c>
      <c r="L174">
        <v>8741</v>
      </c>
      <c r="M174">
        <v>0.157</v>
      </c>
      <c r="N174">
        <v>20</v>
      </c>
      <c r="O174">
        <v>94.4</v>
      </c>
      <c r="P174">
        <v>6.43</v>
      </c>
      <c r="Q174">
        <v>0</v>
      </c>
      <c r="R174">
        <v>3.3</v>
      </c>
      <c r="S174">
        <v>780344.18</v>
      </c>
      <c r="T174">
        <v>118239.09</v>
      </c>
    </row>
    <row r="175" spans="1:20">
      <c r="A175" t="s">
        <v>65</v>
      </c>
      <c r="B175" s="2">
        <v>45689</v>
      </c>
      <c r="C175" t="s">
        <v>15</v>
      </c>
      <c r="D175">
        <f t="shared" si="12"/>
        <v>0</v>
      </c>
      <c r="E175">
        <f t="shared" si="13"/>
        <v>0</v>
      </c>
      <c r="F175">
        <f t="shared" si="14"/>
        <v>0</v>
      </c>
      <c r="G175" t="s">
        <v>16</v>
      </c>
      <c r="H175">
        <f t="shared" si="15"/>
        <v>0</v>
      </c>
      <c r="I175">
        <f t="shared" si="16"/>
        <v>1</v>
      </c>
      <c r="J175">
        <f t="shared" si="17"/>
        <v>0</v>
      </c>
      <c r="K175">
        <v>43645.98</v>
      </c>
      <c r="L175">
        <v>9480</v>
      </c>
      <c r="M175">
        <v>0.109</v>
      </c>
      <c r="N175">
        <v>22</v>
      </c>
      <c r="O175">
        <v>89</v>
      </c>
      <c r="P175">
        <v>2.11</v>
      </c>
      <c r="Q175">
        <v>0</v>
      </c>
      <c r="R175">
        <v>3.1</v>
      </c>
      <c r="S175">
        <v>721364.11</v>
      </c>
      <c r="T175">
        <v>147272.81</v>
      </c>
    </row>
    <row r="176" spans="1:20">
      <c r="A176" t="s">
        <v>65</v>
      </c>
      <c r="B176" s="2">
        <v>45717</v>
      </c>
      <c r="C176" t="s">
        <v>15</v>
      </c>
      <c r="D176">
        <f t="shared" si="12"/>
        <v>0</v>
      </c>
      <c r="E176">
        <f t="shared" si="13"/>
        <v>0</v>
      </c>
      <c r="F176">
        <f t="shared" si="14"/>
        <v>0</v>
      </c>
      <c r="G176" t="s">
        <v>16</v>
      </c>
      <c r="H176">
        <f t="shared" si="15"/>
        <v>0</v>
      </c>
      <c r="I176">
        <f t="shared" si="16"/>
        <v>1</v>
      </c>
      <c r="J176">
        <f t="shared" si="17"/>
        <v>0</v>
      </c>
      <c r="K176">
        <v>68040.149999999994</v>
      </c>
      <c r="L176">
        <v>9826</v>
      </c>
      <c r="M176">
        <v>0.125</v>
      </c>
      <c r="N176">
        <v>20</v>
      </c>
      <c r="O176">
        <v>83.9</v>
      </c>
      <c r="P176">
        <v>9.1199999999999992</v>
      </c>
      <c r="Q176">
        <v>0</v>
      </c>
      <c r="R176">
        <v>3.6</v>
      </c>
      <c r="S176">
        <v>758138.29</v>
      </c>
      <c r="T176">
        <v>132975.26</v>
      </c>
    </row>
    <row r="177" spans="1:20">
      <c r="A177" t="s">
        <v>65</v>
      </c>
      <c r="B177" s="2">
        <v>45748</v>
      </c>
      <c r="C177" t="s">
        <v>15</v>
      </c>
      <c r="D177">
        <f t="shared" si="12"/>
        <v>0</v>
      </c>
      <c r="E177">
        <f t="shared" si="13"/>
        <v>0</v>
      </c>
      <c r="F177">
        <f t="shared" si="14"/>
        <v>0</v>
      </c>
      <c r="G177" t="s">
        <v>16</v>
      </c>
      <c r="H177">
        <f t="shared" si="15"/>
        <v>0</v>
      </c>
      <c r="I177">
        <f t="shared" si="16"/>
        <v>1</v>
      </c>
      <c r="J177">
        <f t="shared" si="17"/>
        <v>0</v>
      </c>
      <c r="K177">
        <v>63043.94</v>
      </c>
      <c r="L177">
        <v>10402</v>
      </c>
      <c r="M177">
        <v>0.159</v>
      </c>
      <c r="N177">
        <v>23</v>
      </c>
      <c r="O177">
        <v>93.9</v>
      </c>
      <c r="P177">
        <v>2.71</v>
      </c>
      <c r="Q177">
        <v>0</v>
      </c>
      <c r="R177">
        <v>3.1</v>
      </c>
      <c r="S177">
        <v>804264</v>
      </c>
      <c r="T177">
        <v>167117.91</v>
      </c>
    </row>
    <row r="178" spans="1:20">
      <c r="A178" t="s">
        <v>66</v>
      </c>
      <c r="B178" s="2">
        <v>45658</v>
      </c>
      <c r="C178" t="s">
        <v>27</v>
      </c>
      <c r="D178">
        <f t="shared" si="12"/>
        <v>0</v>
      </c>
      <c r="E178">
        <f t="shared" si="13"/>
        <v>0</v>
      </c>
      <c r="F178">
        <f t="shared" si="14"/>
        <v>1</v>
      </c>
      <c r="G178" t="s">
        <v>21</v>
      </c>
      <c r="H178">
        <f t="shared" si="15"/>
        <v>0</v>
      </c>
      <c r="I178">
        <f t="shared" si="16"/>
        <v>0</v>
      </c>
      <c r="J178">
        <f t="shared" si="17"/>
        <v>1</v>
      </c>
      <c r="K178">
        <v>67494.09</v>
      </c>
      <c r="L178">
        <v>12361</v>
      </c>
      <c r="M178">
        <v>4.5999999999999999E-2</v>
      </c>
      <c r="N178">
        <v>24</v>
      </c>
      <c r="O178">
        <v>76.599999999999994</v>
      </c>
      <c r="P178">
        <v>3.65</v>
      </c>
      <c r="Q178">
        <v>1</v>
      </c>
      <c r="R178">
        <v>3.7</v>
      </c>
      <c r="S178">
        <v>887537.75</v>
      </c>
      <c r="T178">
        <v>160362.92000000001</v>
      </c>
    </row>
    <row r="179" spans="1:20">
      <c r="A179" t="s">
        <v>66</v>
      </c>
      <c r="B179" s="2">
        <v>45689</v>
      </c>
      <c r="C179" t="s">
        <v>27</v>
      </c>
      <c r="D179">
        <f t="shared" si="12"/>
        <v>0</v>
      </c>
      <c r="E179">
        <f t="shared" si="13"/>
        <v>0</v>
      </c>
      <c r="F179">
        <f t="shared" si="14"/>
        <v>1</v>
      </c>
      <c r="G179" t="s">
        <v>21</v>
      </c>
      <c r="H179">
        <f t="shared" si="15"/>
        <v>0</v>
      </c>
      <c r="I179">
        <f t="shared" si="16"/>
        <v>0</v>
      </c>
      <c r="J179">
        <f t="shared" si="17"/>
        <v>1</v>
      </c>
      <c r="K179">
        <v>29389.32</v>
      </c>
      <c r="L179">
        <v>7925</v>
      </c>
      <c r="M179">
        <v>0.17699999999999999</v>
      </c>
      <c r="N179">
        <v>21</v>
      </c>
      <c r="O179">
        <v>90.9</v>
      </c>
      <c r="P179">
        <v>7.86</v>
      </c>
      <c r="Q179">
        <v>0</v>
      </c>
      <c r="R179">
        <v>4</v>
      </c>
      <c r="S179">
        <v>783582</v>
      </c>
      <c r="T179">
        <v>130670.93</v>
      </c>
    </row>
    <row r="180" spans="1:20">
      <c r="A180" t="s">
        <v>66</v>
      </c>
      <c r="B180" s="2">
        <v>45717</v>
      </c>
      <c r="C180" t="s">
        <v>27</v>
      </c>
      <c r="D180">
        <f t="shared" si="12"/>
        <v>0</v>
      </c>
      <c r="E180">
        <f t="shared" si="13"/>
        <v>0</v>
      </c>
      <c r="F180">
        <f t="shared" si="14"/>
        <v>1</v>
      </c>
      <c r="G180" t="s">
        <v>21</v>
      </c>
      <c r="H180">
        <f t="shared" si="15"/>
        <v>0</v>
      </c>
      <c r="I180">
        <f t="shared" si="16"/>
        <v>0</v>
      </c>
      <c r="J180">
        <f t="shared" si="17"/>
        <v>1</v>
      </c>
      <c r="K180">
        <v>40535.089999999997</v>
      </c>
      <c r="L180">
        <v>8870</v>
      </c>
      <c r="M180">
        <v>4.1000000000000002E-2</v>
      </c>
      <c r="N180">
        <v>21</v>
      </c>
      <c r="O180">
        <v>86.6</v>
      </c>
      <c r="P180">
        <v>0.3</v>
      </c>
      <c r="Q180">
        <v>0</v>
      </c>
      <c r="R180">
        <v>4.0999999999999996</v>
      </c>
      <c r="S180">
        <v>781955.52</v>
      </c>
      <c r="T180">
        <v>152578.71</v>
      </c>
    </row>
    <row r="181" spans="1:20">
      <c r="A181" t="s">
        <v>66</v>
      </c>
      <c r="B181" s="2">
        <v>45748</v>
      </c>
      <c r="C181" t="s">
        <v>27</v>
      </c>
      <c r="D181">
        <f t="shared" si="12"/>
        <v>0</v>
      </c>
      <c r="E181">
        <f t="shared" si="13"/>
        <v>0</v>
      </c>
      <c r="F181">
        <f t="shared" si="14"/>
        <v>1</v>
      </c>
      <c r="G181" t="s">
        <v>21</v>
      </c>
      <c r="H181">
        <f t="shared" si="15"/>
        <v>0</v>
      </c>
      <c r="I181">
        <f t="shared" si="16"/>
        <v>0</v>
      </c>
      <c r="J181">
        <f t="shared" si="17"/>
        <v>1</v>
      </c>
      <c r="K181">
        <v>74881.56</v>
      </c>
      <c r="L181">
        <v>9999</v>
      </c>
      <c r="M181">
        <v>1.2999999999999999E-2</v>
      </c>
      <c r="N181">
        <v>20</v>
      </c>
      <c r="O181">
        <v>89.6</v>
      </c>
      <c r="P181">
        <v>8.44</v>
      </c>
      <c r="Q181">
        <v>0</v>
      </c>
      <c r="R181">
        <v>4.0999999999999996</v>
      </c>
      <c r="S181">
        <v>898031.04</v>
      </c>
      <c r="T181">
        <v>138666.5</v>
      </c>
    </row>
    <row r="182" spans="1:20">
      <c r="A182" t="s">
        <v>67</v>
      </c>
      <c r="B182" s="2">
        <v>45658</v>
      </c>
      <c r="C182" t="s">
        <v>27</v>
      </c>
      <c r="D182">
        <f t="shared" si="12"/>
        <v>0</v>
      </c>
      <c r="E182">
        <f t="shared" si="13"/>
        <v>0</v>
      </c>
      <c r="F182">
        <f t="shared" si="14"/>
        <v>1</v>
      </c>
      <c r="G182" t="s">
        <v>16</v>
      </c>
      <c r="H182">
        <f t="shared" si="15"/>
        <v>0</v>
      </c>
      <c r="I182">
        <f t="shared" si="16"/>
        <v>1</v>
      </c>
      <c r="J182">
        <f t="shared" si="17"/>
        <v>0</v>
      </c>
      <c r="K182">
        <v>68491.11</v>
      </c>
      <c r="L182">
        <v>11154</v>
      </c>
      <c r="M182">
        <v>1E-3</v>
      </c>
      <c r="N182">
        <v>24</v>
      </c>
      <c r="O182">
        <v>89.4</v>
      </c>
      <c r="P182">
        <v>5.27</v>
      </c>
      <c r="Q182">
        <v>1</v>
      </c>
      <c r="R182">
        <v>3.9</v>
      </c>
      <c r="S182">
        <v>855341.28</v>
      </c>
      <c r="T182">
        <v>175823.8</v>
      </c>
    </row>
    <row r="183" spans="1:20">
      <c r="A183" t="s">
        <v>67</v>
      </c>
      <c r="B183" s="2">
        <v>45689</v>
      </c>
      <c r="C183" t="s">
        <v>27</v>
      </c>
      <c r="D183">
        <f t="shared" si="12"/>
        <v>0</v>
      </c>
      <c r="E183">
        <f t="shared" si="13"/>
        <v>0</v>
      </c>
      <c r="F183">
        <f t="shared" si="14"/>
        <v>1</v>
      </c>
      <c r="G183" t="s">
        <v>16</v>
      </c>
      <c r="H183">
        <f t="shared" si="15"/>
        <v>0</v>
      </c>
      <c r="I183">
        <f t="shared" si="16"/>
        <v>1</v>
      </c>
      <c r="J183">
        <f t="shared" si="17"/>
        <v>0</v>
      </c>
      <c r="K183">
        <v>45209.25</v>
      </c>
      <c r="L183">
        <v>9287</v>
      </c>
      <c r="M183">
        <v>0.14099999999999999</v>
      </c>
      <c r="N183">
        <v>22</v>
      </c>
      <c r="O183">
        <v>86.4</v>
      </c>
      <c r="P183">
        <v>13.22</v>
      </c>
      <c r="Q183">
        <v>0</v>
      </c>
      <c r="R183">
        <v>3.6</v>
      </c>
      <c r="S183">
        <v>751393.88</v>
      </c>
      <c r="T183">
        <v>91480.320000000007</v>
      </c>
    </row>
    <row r="184" spans="1:20">
      <c r="A184" t="s">
        <v>67</v>
      </c>
      <c r="B184" s="2">
        <v>45717</v>
      </c>
      <c r="C184" t="s">
        <v>27</v>
      </c>
      <c r="D184">
        <f t="shared" si="12"/>
        <v>0</v>
      </c>
      <c r="E184">
        <f t="shared" si="13"/>
        <v>0</v>
      </c>
      <c r="F184">
        <f t="shared" si="14"/>
        <v>1</v>
      </c>
      <c r="G184" t="s">
        <v>16</v>
      </c>
      <c r="H184">
        <f t="shared" si="15"/>
        <v>0</v>
      </c>
      <c r="I184">
        <f t="shared" si="16"/>
        <v>1</v>
      </c>
      <c r="J184">
        <f t="shared" si="17"/>
        <v>0</v>
      </c>
      <c r="K184">
        <v>63010.23</v>
      </c>
      <c r="L184">
        <v>9812</v>
      </c>
      <c r="M184">
        <v>0.113</v>
      </c>
      <c r="N184">
        <v>24</v>
      </c>
      <c r="O184">
        <v>76.8</v>
      </c>
      <c r="P184">
        <v>1.02</v>
      </c>
      <c r="Q184">
        <v>1</v>
      </c>
      <c r="R184">
        <v>3.8</v>
      </c>
      <c r="S184">
        <v>761077.08</v>
      </c>
      <c r="T184">
        <v>113605.93</v>
      </c>
    </row>
    <row r="185" spans="1:20">
      <c r="A185" t="s">
        <v>67</v>
      </c>
      <c r="B185" s="2">
        <v>45748</v>
      </c>
      <c r="C185" t="s">
        <v>27</v>
      </c>
      <c r="D185">
        <f t="shared" si="12"/>
        <v>0</v>
      </c>
      <c r="E185">
        <f t="shared" si="13"/>
        <v>0</v>
      </c>
      <c r="F185">
        <f t="shared" si="14"/>
        <v>1</v>
      </c>
      <c r="G185" t="s">
        <v>16</v>
      </c>
      <c r="H185">
        <f t="shared" si="15"/>
        <v>0</v>
      </c>
      <c r="I185">
        <f t="shared" si="16"/>
        <v>1</v>
      </c>
      <c r="J185">
        <f t="shared" si="17"/>
        <v>0</v>
      </c>
      <c r="K185">
        <v>57948.88</v>
      </c>
      <c r="L185">
        <v>10741</v>
      </c>
      <c r="M185">
        <v>7.0000000000000007E-2</v>
      </c>
      <c r="N185">
        <v>25</v>
      </c>
      <c r="O185">
        <v>90.1</v>
      </c>
      <c r="P185">
        <v>4.03</v>
      </c>
      <c r="Q185">
        <v>0</v>
      </c>
      <c r="R185">
        <v>3.1</v>
      </c>
      <c r="S185">
        <v>819660.59</v>
      </c>
      <c r="T185">
        <v>172699.95</v>
      </c>
    </row>
    <row r="186" spans="1:20">
      <c r="A186" t="s">
        <v>68</v>
      </c>
      <c r="B186" s="2">
        <v>45658</v>
      </c>
      <c r="C186" t="s">
        <v>20</v>
      </c>
      <c r="D186">
        <f t="shared" si="12"/>
        <v>1</v>
      </c>
      <c r="E186">
        <f t="shared" si="13"/>
        <v>0</v>
      </c>
      <c r="F186">
        <f t="shared" si="14"/>
        <v>0</v>
      </c>
      <c r="G186" t="s">
        <v>18</v>
      </c>
      <c r="H186">
        <f t="shared" si="15"/>
        <v>1</v>
      </c>
      <c r="I186">
        <f t="shared" si="16"/>
        <v>0</v>
      </c>
      <c r="J186">
        <f t="shared" si="17"/>
        <v>0</v>
      </c>
      <c r="K186">
        <v>71941.62</v>
      </c>
      <c r="L186">
        <v>6084</v>
      </c>
      <c r="M186">
        <v>7.1999999999999995E-2</v>
      </c>
      <c r="N186">
        <v>13</v>
      </c>
      <c r="O186">
        <v>93.7</v>
      </c>
      <c r="P186">
        <v>2.34</v>
      </c>
      <c r="Q186">
        <v>0</v>
      </c>
      <c r="R186">
        <v>4.4000000000000004</v>
      </c>
      <c r="S186">
        <v>681855.56</v>
      </c>
      <c r="T186">
        <v>117645.61</v>
      </c>
    </row>
    <row r="187" spans="1:20">
      <c r="A187" t="s">
        <v>68</v>
      </c>
      <c r="B187" s="2">
        <v>45689</v>
      </c>
      <c r="C187" t="s">
        <v>20</v>
      </c>
      <c r="D187">
        <f t="shared" si="12"/>
        <v>1</v>
      </c>
      <c r="E187">
        <f t="shared" si="13"/>
        <v>0</v>
      </c>
      <c r="F187">
        <f t="shared" si="14"/>
        <v>0</v>
      </c>
      <c r="G187" t="s">
        <v>18</v>
      </c>
      <c r="H187">
        <f t="shared" si="15"/>
        <v>1</v>
      </c>
      <c r="I187">
        <f t="shared" si="16"/>
        <v>0</v>
      </c>
      <c r="J187">
        <f t="shared" si="17"/>
        <v>0</v>
      </c>
      <c r="K187">
        <v>57147.88</v>
      </c>
      <c r="L187">
        <v>5252</v>
      </c>
      <c r="M187">
        <v>0.161</v>
      </c>
      <c r="N187">
        <v>15</v>
      </c>
      <c r="O187">
        <v>95.5</v>
      </c>
      <c r="P187">
        <v>8.51</v>
      </c>
      <c r="Q187">
        <v>0</v>
      </c>
      <c r="R187">
        <v>4.4000000000000004</v>
      </c>
      <c r="S187">
        <v>678311.17</v>
      </c>
      <c r="T187">
        <v>132029.76000000001</v>
      </c>
    </row>
    <row r="188" spans="1:20">
      <c r="A188" t="s">
        <v>68</v>
      </c>
      <c r="B188" s="2">
        <v>45717</v>
      </c>
      <c r="C188" t="s">
        <v>20</v>
      </c>
      <c r="D188">
        <f t="shared" si="12"/>
        <v>1</v>
      </c>
      <c r="E188">
        <f t="shared" si="13"/>
        <v>0</v>
      </c>
      <c r="F188">
        <f t="shared" si="14"/>
        <v>0</v>
      </c>
      <c r="G188" t="s">
        <v>18</v>
      </c>
      <c r="H188">
        <f t="shared" si="15"/>
        <v>1</v>
      </c>
      <c r="I188">
        <f t="shared" si="16"/>
        <v>0</v>
      </c>
      <c r="J188">
        <f t="shared" si="17"/>
        <v>0</v>
      </c>
      <c r="K188">
        <v>48031.74</v>
      </c>
      <c r="L188">
        <v>6516</v>
      </c>
      <c r="M188">
        <v>6.7000000000000004E-2</v>
      </c>
      <c r="N188">
        <v>14</v>
      </c>
      <c r="O188">
        <v>99</v>
      </c>
      <c r="P188">
        <v>0.48</v>
      </c>
      <c r="Q188">
        <v>1</v>
      </c>
      <c r="R188">
        <v>4.3</v>
      </c>
      <c r="S188">
        <v>765906.95</v>
      </c>
      <c r="T188">
        <v>114005.9</v>
      </c>
    </row>
    <row r="189" spans="1:20">
      <c r="A189" t="s">
        <v>68</v>
      </c>
      <c r="B189" s="2">
        <v>45748</v>
      </c>
      <c r="C189" t="s">
        <v>20</v>
      </c>
      <c r="D189">
        <f t="shared" si="12"/>
        <v>1</v>
      </c>
      <c r="E189">
        <f t="shared" si="13"/>
        <v>0</v>
      </c>
      <c r="F189">
        <f t="shared" si="14"/>
        <v>0</v>
      </c>
      <c r="G189" t="s">
        <v>18</v>
      </c>
      <c r="H189">
        <f t="shared" si="15"/>
        <v>1</v>
      </c>
      <c r="I189">
        <f t="shared" si="16"/>
        <v>0</v>
      </c>
      <c r="J189">
        <f t="shared" si="17"/>
        <v>0</v>
      </c>
      <c r="K189">
        <v>72784.800000000003</v>
      </c>
      <c r="L189">
        <v>7932</v>
      </c>
      <c r="M189">
        <v>9.4E-2</v>
      </c>
      <c r="N189">
        <v>20</v>
      </c>
      <c r="O189">
        <v>74.900000000000006</v>
      </c>
      <c r="P189">
        <v>13.62</v>
      </c>
      <c r="Q189">
        <v>0</v>
      </c>
      <c r="R189">
        <v>4.2</v>
      </c>
      <c r="S189">
        <v>712546.38</v>
      </c>
      <c r="T189">
        <v>101480.04</v>
      </c>
    </row>
    <row r="190" spans="1:20">
      <c r="A190" t="s">
        <v>69</v>
      </c>
      <c r="B190" s="2">
        <v>45658</v>
      </c>
      <c r="C190" t="s">
        <v>15</v>
      </c>
      <c r="D190">
        <f t="shared" si="12"/>
        <v>0</v>
      </c>
      <c r="E190">
        <f t="shared" si="13"/>
        <v>0</v>
      </c>
      <c r="F190">
        <f t="shared" si="14"/>
        <v>0</v>
      </c>
      <c r="G190" t="s">
        <v>18</v>
      </c>
      <c r="H190">
        <f t="shared" si="15"/>
        <v>1</v>
      </c>
      <c r="I190">
        <f t="shared" si="16"/>
        <v>0</v>
      </c>
      <c r="J190">
        <f t="shared" si="17"/>
        <v>0</v>
      </c>
      <c r="K190">
        <v>71641.899999999994</v>
      </c>
      <c r="L190">
        <v>3506</v>
      </c>
      <c r="M190">
        <v>0</v>
      </c>
      <c r="N190">
        <v>11</v>
      </c>
      <c r="O190">
        <v>86.4</v>
      </c>
      <c r="P190">
        <v>7.77</v>
      </c>
      <c r="Q190">
        <v>0</v>
      </c>
      <c r="R190">
        <v>4.0999999999999996</v>
      </c>
      <c r="S190">
        <v>625993.82999999996</v>
      </c>
      <c r="T190">
        <v>98960.320000000007</v>
      </c>
    </row>
    <row r="191" spans="1:20">
      <c r="A191" t="s">
        <v>69</v>
      </c>
      <c r="B191" s="2">
        <v>45689</v>
      </c>
      <c r="C191" t="s">
        <v>15</v>
      </c>
      <c r="D191">
        <f t="shared" si="12"/>
        <v>0</v>
      </c>
      <c r="E191">
        <f t="shared" si="13"/>
        <v>0</v>
      </c>
      <c r="F191">
        <f t="shared" si="14"/>
        <v>0</v>
      </c>
      <c r="G191" t="s">
        <v>18</v>
      </c>
      <c r="H191">
        <f t="shared" si="15"/>
        <v>1</v>
      </c>
      <c r="I191">
        <f t="shared" si="16"/>
        <v>0</v>
      </c>
      <c r="J191">
        <f t="shared" si="17"/>
        <v>0</v>
      </c>
      <c r="K191">
        <v>55788.61</v>
      </c>
      <c r="L191">
        <v>2312</v>
      </c>
      <c r="M191">
        <v>5.8000000000000003E-2</v>
      </c>
      <c r="N191">
        <v>10</v>
      </c>
      <c r="O191">
        <v>91.3</v>
      </c>
      <c r="P191">
        <v>1.99</v>
      </c>
      <c r="Q191">
        <v>0</v>
      </c>
      <c r="R191">
        <v>3.8</v>
      </c>
      <c r="S191">
        <v>550962.93000000005</v>
      </c>
      <c r="T191">
        <v>97144.58</v>
      </c>
    </row>
    <row r="192" spans="1:20">
      <c r="A192" t="s">
        <v>69</v>
      </c>
      <c r="B192" s="2">
        <v>45717</v>
      </c>
      <c r="C192" t="s">
        <v>15</v>
      </c>
      <c r="D192">
        <f t="shared" si="12"/>
        <v>0</v>
      </c>
      <c r="E192">
        <f t="shared" si="13"/>
        <v>0</v>
      </c>
      <c r="F192">
        <f t="shared" si="14"/>
        <v>0</v>
      </c>
      <c r="G192" t="s">
        <v>18</v>
      </c>
      <c r="H192">
        <f t="shared" si="15"/>
        <v>1</v>
      </c>
      <c r="I192">
        <f t="shared" si="16"/>
        <v>0</v>
      </c>
      <c r="J192">
        <f t="shared" si="17"/>
        <v>0</v>
      </c>
      <c r="K192">
        <v>37705.879999999997</v>
      </c>
      <c r="L192">
        <v>1268</v>
      </c>
      <c r="M192">
        <v>0.25900000000000001</v>
      </c>
      <c r="N192">
        <v>9</v>
      </c>
      <c r="O192">
        <v>84.1</v>
      </c>
      <c r="P192">
        <v>4.7699999999999996</v>
      </c>
      <c r="Q192">
        <v>0</v>
      </c>
      <c r="R192">
        <v>3.8</v>
      </c>
      <c r="S192">
        <v>443275.59</v>
      </c>
      <c r="T192">
        <v>53544.36</v>
      </c>
    </row>
    <row r="193" spans="1:20">
      <c r="A193" t="s">
        <v>69</v>
      </c>
      <c r="B193" s="2">
        <v>45748</v>
      </c>
      <c r="C193" t="s">
        <v>15</v>
      </c>
      <c r="D193">
        <f t="shared" si="12"/>
        <v>0</v>
      </c>
      <c r="E193">
        <f t="shared" si="13"/>
        <v>0</v>
      </c>
      <c r="F193">
        <f t="shared" si="14"/>
        <v>0</v>
      </c>
      <c r="G193" t="s">
        <v>18</v>
      </c>
      <c r="H193">
        <f t="shared" si="15"/>
        <v>1</v>
      </c>
      <c r="I193">
        <f t="shared" si="16"/>
        <v>0</v>
      </c>
      <c r="J193">
        <f t="shared" si="17"/>
        <v>0</v>
      </c>
      <c r="K193">
        <v>54966.18</v>
      </c>
      <c r="L193">
        <v>4423</v>
      </c>
      <c r="M193">
        <v>0.186</v>
      </c>
      <c r="N193">
        <v>13</v>
      </c>
      <c r="O193">
        <v>88.7</v>
      </c>
      <c r="P193">
        <v>0.2</v>
      </c>
      <c r="Q193">
        <v>0</v>
      </c>
      <c r="R193">
        <v>4.4000000000000004</v>
      </c>
      <c r="S193">
        <v>554012.06999999995</v>
      </c>
      <c r="T193">
        <v>81101.62</v>
      </c>
    </row>
    <row r="194" spans="1:20">
      <c r="A194" t="s">
        <v>70</v>
      </c>
      <c r="B194" s="2">
        <v>45658</v>
      </c>
      <c r="C194" t="s">
        <v>27</v>
      </c>
      <c r="D194">
        <f t="shared" si="12"/>
        <v>0</v>
      </c>
      <c r="E194">
        <f t="shared" si="13"/>
        <v>0</v>
      </c>
      <c r="F194">
        <f t="shared" si="14"/>
        <v>1</v>
      </c>
      <c r="G194" t="s">
        <v>16</v>
      </c>
      <c r="H194">
        <f t="shared" si="15"/>
        <v>0</v>
      </c>
      <c r="I194">
        <f t="shared" si="16"/>
        <v>1</v>
      </c>
      <c r="J194">
        <f t="shared" si="17"/>
        <v>0</v>
      </c>
      <c r="K194">
        <v>81796.740000000005</v>
      </c>
      <c r="L194">
        <v>6177</v>
      </c>
      <c r="M194">
        <v>0.16400000000000001</v>
      </c>
      <c r="N194">
        <v>14</v>
      </c>
      <c r="O194">
        <v>87.9</v>
      </c>
      <c r="P194">
        <v>0.53</v>
      </c>
      <c r="Q194">
        <v>0</v>
      </c>
      <c r="R194">
        <v>3.2</v>
      </c>
      <c r="S194">
        <v>643428.85</v>
      </c>
      <c r="T194">
        <v>94477.63</v>
      </c>
    </row>
    <row r="195" spans="1:20">
      <c r="A195" t="s">
        <v>70</v>
      </c>
      <c r="B195" s="2">
        <v>45689</v>
      </c>
      <c r="C195" t="s">
        <v>27</v>
      </c>
      <c r="D195">
        <f t="shared" ref="D195:D258" si="18">IF(C195="North",1,0)</f>
        <v>0</v>
      </c>
      <c r="E195">
        <f t="shared" ref="E195:E258" si="19">IF(C195="South",1,0)</f>
        <v>0</v>
      </c>
      <c r="F195">
        <f t="shared" ref="F195:F258" si="20">IF(C195="West",1,0)</f>
        <v>1</v>
      </c>
      <c r="G195" t="s">
        <v>16</v>
      </c>
      <c r="H195">
        <f t="shared" ref="H195:H258" si="21">IF(G195="High Street",1,0)</f>
        <v>0</v>
      </c>
      <c r="I195">
        <f t="shared" ref="I195:I258" si="22">IF(G195="Residential",1,0)</f>
        <v>1</v>
      </c>
      <c r="J195">
        <f t="shared" ref="J195:J258" si="23">IF(G195="Airport",1,0)</f>
        <v>0</v>
      </c>
      <c r="K195">
        <v>51133.43</v>
      </c>
      <c r="L195">
        <v>5150</v>
      </c>
      <c r="M195">
        <v>0.15</v>
      </c>
      <c r="N195">
        <v>12</v>
      </c>
      <c r="O195">
        <v>88.5</v>
      </c>
      <c r="P195">
        <v>1.54</v>
      </c>
      <c r="Q195">
        <v>0</v>
      </c>
      <c r="R195">
        <v>3.2</v>
      </c>
      <c r="S195">
        <v>611924.27</v>
      </c>
      <c r="T195">
        <v>115488.75</v>
      </c>
    </row>
    <row r="196" spans="1:20">
      <c r="A196" t="s">
        <v>70</v>
      </c>
      <c r="B196" s="2">
        <v>45717</v>
      </c>
      <c r="C196" t="s">
        <v>27</v>
      </c>
      <c r="D196">
        <f t="shared" si="18"/>
        <v>0</v>
      </c>
      <c r="E196">
        <f t="shared" si="19"/>
        <v>0</v>
      </c>
      <c r="F196">
        <f t="shared" si="20"/>
        <v>1</v>
      </c>
      <c r="G196" t="s">
        <v>16</v>
      </c>
      <c r="H196">
        <f t="shared" si="21"/>
        <v>0</v>
      </c>
      <c r="I196">
        <f t="shared" si="22"/>
        <v>1</v>
      </c>
      <c r="J196">
        <f t="shared" si="23"/>
        <v>0</v>
      </c>
      <c r="K196">
        <v>40220.18</v>
      </c>
      <c r="L196">
        <v>3783</v>
      </c>
      <c r="M196">
        <v>8.8999999999999996E-2</v>
      </c>
      <c r="N196">
        <v>14</v>
      </c>
      <c r="O196">
        <v>86.6</v>
      </c>
      <c r="P196">
        <v>3.63</v>
      </c>
      <c r="Q196">
        <v>0</v>
      </c>
      <c r="R196">
        <v>3.7</v>
      </c>
      <c r="S196">
        <v>559422.02</v>
      </c>
      <c r="T196">
        <v>73528.740000000005</v>
      </c>
    </row>
    <row r="197" spans="1:20">
      <c r="A197" t="s">
        <v>70</v>
      </c>
      <c r="B197" s="2">
        <v>45748</v>
      </c>
      <c r="C197" t="s">
        <v>27</v>
      </c>
      <c r="D197">
        <f t="shared" si="18"/>
        <v>0</v>
      </c>
      <c r="E197">
        <f t="shared" si="19"/>
        <v>0</v>
      </c>
      <c r="F197">
        <f t="shared" si="20"/>
        <v>1</v>
      </c>
      <c r="G197" t="s">
        <v>16</v>
      </c>
      <c r="H197">
        <f t="shared" si="21"/>
        <v>0</v>
      </c>
      <c r="I197">
        <f t="shared" si="22"/>
        <v>1</v>
      </c>
      <c r="J197">
        <f t="shared" si="23"/>
        <v>0</v>
      </c>
      <c r="K197">
        <v>41657.64</v>
      </c>
      <c r="L197">
        <v>3135</v>
      </c>
      <c r="M197">
        <v>0.22900000000000001</v>
      </c>
      <c r="N197">
        <v>7</v>
      </c>
      <c r="O197">
        <v>85.4</v>
      </c>
      <c r="P197">
        <v>13.48</v>
      </c>
      <c r="Q197">
        <v>0</v>
      </c>
      <c r="R197">
        <v>3.92</v>
      </c>
      <c r="S197">
        <v>449465.06</v>
      </c>
      <c r="T197">
        <v>65694.78</v>
      </c>
    </row>
    <row r="198" spans="1:20">
      <c r="A198" t="s">
        <v>71</v>
      </c>
      <c r="B198" s="2">
        <v>45658</v>
      </c>
      <c r="C198" t="s">
        <v>20</v>
      </c>
      <c r="D198">
        <f t="shared" si="18"/>
        <v>1</v>
      </c>
      <c r="E198">
        <f t="shared" si="19"/>
        <v>0</v>
      </c>
      <c r="F198">
        <f t="shared" si="20"/>
        <v>0</v>
      </c>
      <c r="G198" t="s">
        <v>16</v>
      </c>
      <c r="H198">
        <f t="shared" si="21"/>
        <v>0</v>
      </c>
      <c r="I198">
        <f t="shared" si="22"/>
        <v>1</v>
      </c>
      <c r="J198">
        <f t="shared" si="23"/>
        <v>0</v>
      </c>
      <c r="K198">
        <v>71851.45</v>
      </c>
      <c r="L198">
        <v>4970</v>
      </c>
      <c r="M198">
        <v>9.8000000000000004E-2</v>
      </c>
      <c r="N198">
        <v>11</v>
      </c>
      <c r="O198">
        <v>89.6</v>
      </c>
      <c r="P198">
        <v>0.2</v>
      </c>
      <c r="Q198">
        <v>0</v>
      </c>
      <c r="R198">
        <v>4.2</v>
      </c>
      <c r="S198">
        <v>691447.43</v>
      </c>
      <c r="T198">
        <v>114077.69</v>
      </c>
    </row>
    <row r="199" spans="1:20">
      <c r="A199" t="s">
        <v>71</v>
      </c>
      <c r="B199" s="2">
        <v>45689</v>
      </c>
      <c r="C199" t="s">
        <v>20</v>
      </c>
      <c r="D199">
        <f t="shared" si="18"/>
        <v>1</v>
      </c>
      <c r="E199">
        <f t="shared" si="19"/>
        <v>0</v>
      </c>
      <c r="F199">
        <f t="shared" si="20"/>
        <v>0</v>
      </c>
      <c r="G199" t="s">
        <v>16</v>
      </c>
      <c r="H199">
        <f t="shared" si="21"/>
        <v>0</v>
      </c>
      <c r="I199">
        <f t="shared" si="22"/>
        <v>1</v>
      </c>
      <c r="J199">
        <f t="shared" si="23"/>
        <v>0</v>
      </c>
      <c r="K199">
        <v>54002.83</v>
      </c>
      <c r="L199">
        <v>4366</v>
      </c>
      <c r="M199">
        <v>2.7E-2</v>
      </c>
      <c r="N199">
        <v>15</v>
      </c>
      <c r="O199">
        <v>90.6</v>
      </c>
      <c r="P199">
        <v>12.82</v>
      </c>
      <c r="Q199">
        <v>0</v>
      </c>
      <c r="R199">
        <v>4.5999999999999996</v>
      </c>
      <c r="S199">
        <v>574066.61</v>
      </c>
      <c r="T199">
        <v>124674.67</v>
      </c>
    </row>
    <row r="200" spans="1:20">
      <c r="A200" t="s">
        <v>71</v>
      </c>
      <c r="B200" s="2">
        <v>45717</v>
      </c>
      <c r="C200" t="s">
        <v>20</v>
      </c>
      <c r="D200">
        <f t="shared" si="18"/>
        <v>1</v>
      </c>
      <c r="E200">
        <f t="shared" si="19"/>
        <v>0</v>
      </c>
      <c r="F200">
        <f t="shared" si="20"/>
        <v>0</v>
      </c>
      <c r="G200" t="s">
        <v>16</v>
      </c>
      <c r="H200">
        <f t="shared" si="21"/>
        <v>0</v>
      </c>
      <c r="I200">
        <f t="shared" si="22"/>
        <v>1</v>
      </c>
      <c r="J200">
        <f t="shared" si="23"/>
        <v>0</v>
      </c>
      <c r="K200">
        <v>54479.33</v>
      </c>
      <c r="L200">
        <v>5012</v>
      </c>
      <c r="M200">
        <v>0.28399999999999997</v>
      </c>
      <c r="N200">
        <v>13</v>
      </c>
      <c r="O200">
        <v>86</v>
      </c>
      <c r="P200">
        <v>2.2400000000000002</v>
      </c>
      <c r="Q200">
        <v>1</v>
      </c>
      <c r="R200">
        <v>4.3</v>
      </c>
      <c r="S200">
        <v>578949.84</v>
      </c>
      <c r="T200">
        <v>80253.649999999994</v>
      </c>
    </row>
    <row r="201" spans="1:20">
      <c r="A201" t="s">
        <v>71</v>
      </c>
      <c r="B201" s="2">
        <v>45748</v>
      </c>
      <c r="C201" t="s">
        <v>20</v>
      </c>
      <c r="D201">
        <f t="shared" si="18"/>
        <v>1</v>
      </c>
      <c r="E201">
        <f t="shared" si="19"/>
        <v>0</v>
      </c>
      <c r="F201">
        <f t="shared" si="20"/>
        <v>0</v>
      </c>
      <c r="G201" t="s">
        <v>16</v>
      </c>
      <c r="H201">
        <f t="shared" si="21"/>
        <v>0</v>
      </c>
      <c r="I201">
        <f t="shared" si="22"/>
        <v>1</v>
      </c>
      <c r="J201">
        <f t="shared" si="23"/>
        <v>0</v>
      </c>
      <c r="K201">
        <v>61391.8</v>
      </c>
      <c r="L201">
        <v>5575</v>
      </c>
      <c r="M201">
        <v>0.189</v>
      </c>
      <c r="N201">
        <v>18</v>
      </c>
      <c r="O201">
        <v>90</v>
      </c>
      <c r="P201">
        <v>1.8</v>
      </c>
      <c r="Q201">
        <v>0</v>
      </c>
      <c r="R201">
        <v>4.8</v>
      </c>
      <c r="S201">
        <v>735786.64</v>
      </c>
      <c r="T201">
        <v>126540.66</v>
      </c>
    </row>
    <row r="202" spans="1:20">
      <c r="A202" t="s">
        <v>72</v>
      </c>
      <c r="B202" s="2">
        <v>45658</v>
      </c>
      <c r="C202" t="s">
        <v>15</v>
      </c>
      <c r="D202">
        <f t="shared" si="18"/>
        <v>0</v>
      </c>
      <c r="E202">
        <f t="shared" si="19"/>
        <v>0</v>
      </c>
      <c r="F202">
        <f t="shared" si="20"/>
        <v>0</v>
      </c>
      <c r="G202" t="s">
        <v>21</v>
      </c>
      <c r="H202">
        <f t="shared" si="21"/>
        <v>0</v>
      </c>
      <c r="I202">
        <f t="shared" si="22"/>
        <v>0</v>
      </c>
      <c r="J202">
        <f t="shared" si="23"/>
        <v>1</v>
      </c>
      <c r="K202">
        <v>22312.93</v>
      </c>
      <c r="L202">
        <v>5955</v>
      </c>
      <c r="M202">
        <v>0.123</v>
      </c>
      <c r="N202">
        <v>13</v>
      </c>
      <c r="O202">
        <v>84.2</v>
      </c>
      <c r="P202">
        <v>0.41</v>
      </c>
      <c r="Q202">
        <v>1</v>
      </c>
      <c r="R202">
        <v>4.5999999999999996</v>
      </c>
      <c r="S202">
        <v>598904.9</v>
      </c>
      <c r="T202">
        <v>72861</v>
      </c>
    </row>
    <row r="203" spans="1:20">
      <c r="A203" t="s">
        <v>72</v>
      </c>
      <c r="B203" s="2">
        <v>45689</v>
      </c>
      <c r="C203" t="s">
        <v>15</v>
      </c>
      <c r="D203">
        <f t="shared" si="18"/>
        <v>0</v>
      </c>
      <c r="E203">
        <f t="shared" si="19"/>
        <v>0</v>
      </c>
      <c r="F203">
        <f t="shared" si="20"/>
        <v>0</v>
      </c>
      <c r="G203" t="s">
        <v>21</v>
      </c>
      <c r="H203">
        <f t="shared" si="21"/>
        <v>0</v>
      </c>
      <c r="I203">
        <f t="shared" si="22"/>
        <v>0</v>
      </c>
      <c r="J203">
        <f t="shared" si="23"/>
        <v>1</v>
      </c>
      <c r="K203">
        <v>78111.97</v>
      </c>
      <c r="L203">
        <v>6389</v>
      </c>
      <c r="M203">
        <v>0.15</v>
      </c>
      <c r="N203">
        <v>13</v>
      </c>
      <c r="O203">
        <v>83.9</v>
      </c>
      <c r="P203">
        <v>3.05</v>
      </c>
      <c r="Q203">
        <v>0</v>
      </c>
      <c r="R203">
        <v>4.8</v>
      </c>
      <c r="S203">
        <v>787715.51</v>
      </c>
      <c r="T203">
        <v>128969.62</v>
      </c>
    </row>
    <row r="204" spans="1:20">
      <c r="A204" t="s">
        <v>72</v>
      </c>
      <c r="B204" s="2">
        <v>45717</v>
      </c>
      <c r="C204" t="s">
        <v>15</v>
      </c>
      <c r="D204">
        <f t="shared" si="18"/>
        <v>0</v>
      </c>
      <c r="E204">
        <f t="shared" si="19"/>
        <v>0</v>
      </c>
      <c r="F204">
        <f t="shared" si="20"/>
        <v>0</v>
      </c>
      <c r="G204" t="s">
        <v>21</v>
      </c>
      <c r="H204">
        <f t="shared" si="21"/>
        <v>0</v>
      </c>
      <c r="I204">
        <f t="shared" si="22"/>
        <v>0</v>
      </c>
      <c r="J204">
        <f t="shared" si="23"/>
        <v>1</v>
      </c>
      <c r="K204">
        <v>35203.230000000003</v>
      </c>
      <c r="L204">
        <v>6896</v>
      </c>
      <c r="M204">
        <v>3.2000000000000001E-2</v>
      </c>
      <c r="N204">
        <v>14</v>
      </c>
      <c r="O204">
        <v>80.8</v>
      </c>
      <c r="P204">
        <v>8.44</v>
      </c>
      <c r="Q204">
        <v>1</v>
      </c>
      <c r="R204">
        <v>5</v>
      </c>
      <c r="S204">
        <v>607084.92000000004</v>
      </c>
      <c r="T204">
        <v>98558.49</v>
      </c>
    </row>
    <row r="205" spans="1:20">
      <c r="A205" t="s">
        <v>72</v>
      </c>
      <c r="B205" s="2">
        <v>45748</v>
      </c>
      <c r="C205" t="s">
        <v>15</v>
      </c>
      <c r="D205">
        <f t="shared" si="18"/>
        <v>0</v>
      </c>
      <c r="E205">
        <f t="shared" si="19"/>
        <v>0</v>
      </c>
      <c r="F205">
        <f t="shared" si="20"/>
        <v>0</v>
      </c>
      <c r="G205" t="s">
        <v>21</v>
      </c>
      <c r="H205">
        <f t="shared" si="21"/>
        <v>0</v>
      </c>
      <c r="I205">
        <f t="shared" si="22"/>
        <v>0</v>
      </c>
      <c r="J205">
        <f t="shared" si="23"/>
        <v>1</v>
      </c>
      <c r="K205">
        <v>64104.28</v>
      </c>
      <c r="L205">
        <v>6015</v>
      </c>
      <c r="M205">
        <v>0.127</v>
      </c>
      <c r="N205">
        <v>15</v>
      </c>
      <c r="O205">
        <v>88.7</v>
      </c>
      <c r="P205">
        <v>0.78</v>
      </c>
      <c r="Q205">
        <v>0</v>
      </c>
      <c r="R205">
        <v>4</v>
      </c>
      <c r="S205">
        <v>650795.49</v>
      </c>
      <c r="T205">
        <v>103035.89</v>
      </c>
    </row>
    <row r="206" spans="1:20">
      <c r="A206" t="s">
        <v>73</v>
      </c>
      <c r="B206" s="2">
        <v>45658</v>
      </c>
      <c r="C206" t="s">
        <v>15</v>
      </c>
      <c r="D206">
        <f t="shared" si="18"/>
        <v>0</v>
      </c>
      <c r="E206">
        <f t="shared" si="19"/>
        <v>0</v>
      </c>
      <c r="F206">
        <f t="shared" si="20"/>
        <v>0</v>
      </c>
      <c r="G206" t="s">
        <v>28</v>
      </c>
      <c r="H206">
        <f t="shared" si="21"/>
        <v>0</v>
      </c>
      <c r="I206">
        <f t="shared" si="22"/>
        <v>0</v>
      </c>
      <c r="J206">
        <f t="shared" si="23"/>
        <v>0</v>
      </c>
      <c r="K206">
        <v>92090.14</v>
      </c>
      <c r="L206">
        <v>9476</v>
      </c>
      <c r="M206">
        <v>7.0000000000000007E-2</v>
      </c>
      <c r="N206">
        <v>24</v>
      </c>
      <c r="O206">
        <v>94.3</v>
      </c>
      <c r="P206">
        <v>0.87</v>
      </c>
      <c r="Q206">
        <v>0</v>
      </c>
      <c r="R206">
        <v>3.7</v>
      </c>
      <c r="S206">
        <v>825060.52</v>
      </c>
      <c r="T206">
        <v>143613.15</v>
      </c>
    </row>
    <row r="207" spans="1:20">
      <c r="A207" t="s">
        <v>73</v>
      </c>
      <c r="B207" s="2">
        <v>45689</v>
      </c>
      <c r="C207" t="s">
        <v>15</v>
      </c>
      <c r="D207">
        <f t="shared" si="18"/>
        <v>0</v>
      </c>
      <c r="E207">
        <f t="shared" si="19"/>
        <v>0</v>
      </c>
      <c r="F207">
        <f t="shared" si="20"/>
        <v>0</v>
      </c>
      <c r="G207" t="s">
        <v>28</v>
      </c>
      <c r="H207">
        <f t="shared" si="21"/>
        <v>0</v>
      </c>
      <c r="I207">
        <f t="shared" si="22"/>
        <v>0</v>
      </c>
      <c r="J207">
        <f t="shared" si="23"/>
        <v>0</v>
      </c>
      <c r="K207">
        <v>54300.87</v>
      </c>
      <c r="L207">
        <v>7875</v>
      </c>
      <c r="M207">
        <v>0.107</v>
      </c>
      <c r="N207">
        <v>19</v>
      </c>
      <c r="O207">
        <v>94.1</v>
      </c>
      <c r="P207">
        <v>0.95</v>
      </c>
      <c r="Q207">
        <v>0</v>
      </c>
      <c r="R207">
        <v>3.7</v>
      </c>
      <c r="S207">
        <v>795464.47</v>
      </c>
      <c r="T207">
        <v>161150.51999999999</v>
      </c>
    </row>
    <row r="208" spans="1:20">
      <c r="A208" t="s">
        <v>73</v>
      </c>
      <c r="B208" s="2">
        <v>45717</v>
      </c>
      <c r="C208" t="s">
        <v>15</v>
      </c>
      <c r="D208">
        <f t="shared" si="18"/>
        <v>0</v>
      </c>
      <c r="E208">
        <f t="shared" si="19"/>
        <v>0</v>
      </c>
      <c r="F208">
        <f t="shared" si="20"/>
        <v>0</v>
      </c>
      <c r="G208" t="s">
        <v>28</v>
      </c>
      <c r="H208">
        <f t="shared" si="21"/>
        <v>0</v>
      </c>
      <c r="I208">
        <f t="shared" si="22"/>
        <v>0</v>
      </c>
      <c r="J208">
        <f t="shared" si="23"/>
        <v>0</v>
      </c>
      <c r="K208">
        <v>37983.35</v>
      </c>
      <c r="L208">
        <v>9283</v>
      </c>
      <c r="M208">
        <v>0.14899999999999999</v>
      </c>
      <c r="N208">
        <v>19</v>
      </c>
      <c r="O208">
        <v>83.2</v>
      </c>
      <c r="P208">
        <v>3.82</v>
      </c>
      <c r="Q208">
        <v>0</v>
      </c>
      <c r="R208">
        <v>3.7</v>
      </c>
      <c r="S208">
        <v>671868.59</v>
      </c>
      <c r="T208">
        <v>71003.28</v>
      </c>
    </row>
    <row r="209" spans="1:20">
      <c r="A209" t="s">
        <v>73</v>
      </c>
      <c r="B209" s="2">
        <v>45748</v>
      </c>
      <c r="C209" t="s">
        <v>15</v>
      </c>
      <c r="D209">
        <f t="shared" si="18"/>
        <v>0</v>
      </c>
      <c r="E209">
        <f t="shared" si="19"/>
        <v>0</v>
      </c>
      <c r="F209">
        <f t="shared" si="20"/>
        <v>0</v>
      </c>
      <c r="G209" t="s">
        <v>28</v>
      </c>
      <c r="H209">
        <f t="shared" si="21"/>
        <v>0</v>
      </c>
      <c r="I209">
        <f t="shared" si="22"/>
        <v>0</v>
      </c>
      <c r="J209">
        <f t="shared" si="23"/>
        <v>0</v>
      </c>
      <c r="K209">
        <v>56413.83</v>
      </c>
      <c r="L209">
        <v>8303</v>
      </c>
      <c r="M209">
        <v>0.11600000000000001</v>
      </c>
      <c r="N209">
        <v>18</v>
      </c>
      <c r="O209">
        <v>93.6</v>
      </c>
      <c r="P209">
        <v>2.7</v>
      </c>
      <c r="Q209">
        <v>0</v>
      </c>
      <c r="R209">
        <v>3.7</v>
      </c>
      <c r="S209">
        <v>675917.63</v>
      </c>
      <c r="T209">
        <v>112564.75</v>
      </c>
    </row>
    <row r="210" spans="1:20">
      <c r="A210" t="s">
        <v>74</v>
      </c>
      <c r="B210" s="2">
        <v>45658</v>
      </c>
      <c r="C210" t="s">
        <v>15</v>
      </c>
      <c r="D210">
        <f t="shared" si="18"/>
        <v>0</v>
      </c>
      <c r="E210">
        <f t="shared" si="19"/>
        <v>0</v>
      </c>
      <c r="F210">
        <f t="shared" si="20"/>
        <v>0</v>
      </c>
      <c r="G210" t="s">
        <v>18</v>
      </c>
      <c r="H210">
        <f t="shared" si="21"/>
        <v>1</v>
      </c>
      <c r="I210">
        <f t="shared" si="22"/>
        <v>0</v>
      </c>
      <c r="J210">
        <f t="shared" si="23"/>
        <v>0</v>
      </c>
      <c r="K210">
        <v>63457.19</v>
      </c>
      <c r="L210">
        <v>10125</v>
      </c>
      <c r="M210">
        <v>9.7000000000000003E-2</v>
      </c>
      <c r="N210">
        <v>24</v>
      </c>
      <c r="O210">
        <v>87</v>
      </c>
      <c r="P210">
        <v>3.84</v>
      </c>
      <c r="Q210">
        <v>1</v>
      </c>
      <c r="R210">
        <v>3.7</v>
      </c>
      <c r="S210">
        <v>810446.53</v>
      </c>
      <c r="T210">
        <v>200575.34</v>
      </c>
    </row>
    <row r="211" spans="1:20">
      <c r="A211" t="s">
        <v>74</v>
      </c>
      <c r="B211" s="2">
        <v>45689</v>
      </c>
      <c r="C211" t="s">
        <v>15</v>
      </c>
      <c r="D211">
        <f t="shared" si="18"/>
        <v>0</v>
      </c>
      <c r="E211">
        <f t="shared" si="19"/>
        <v>0</v>
      </c>
      <c r="F211">
        <f t="shared" si="20"/>
        <v>0</v>
      </c>
      <c r="G211" t="s">
        <v>18</v>
      </c>
      <c r="H211">
        <f t="shared" si="21"/>
        <v>1</v>
      </c>
      <c r="I211">
        <f t="shared" si="22"/>
        <v>0</v>
      </c>
      <c r="J211">
        <f t="shared" si="23"/>
        <v>0</v>
      </c>
      <c r="K211">
        <v>62949.7</v>
      </c>
      <c r="L211">
        <v>9458</v>
      </c>
      <c r="M211">
        <v>0.17100000000000001</v>
      </c>
      <c r="N211">
        <v>19</v>
      </c>
      <c r="O211">
        <v>84.9</v>
      </c>
      <c r="P211">
        <v>5.09</v>
      </c>
      <c r="Q211">
        <v>0</v>
      </c>
      <c r="R211">
        <v>3.3</v>
      </c>
      <c r="S211">
        <v>691288.19</v>
      </c>
      <c r="T211">
        <v>159074.14000000001</v>
      </c>
    </row>
    <row r="212" spans="1:20">
      <c r="A212" t="s">
        <v>74</v>
      </c>
      <c r="B212" s="2">
        <v>45717</v>
      </c>
      <c r="C212" t="s">
        <v>15</v>
      </c>
      <c r="D212">
        <f t="shared" si="18"/>
        <v>0</v>
      </c>
      <c r="E212">
        <f t="shared" si="19"/>
        <v>0</v>
      </c>
      <c r="F212">
        <f t="shared" si="20"/>
        <v>0</v>
      </c>
      <c r="G212" t="s">
        <v>18</v>
      </c>
      <c r="H212">
        <f t="shared" si="21"/>
        <v>1</v>
      </c>
      <c r="I212">
        <f t="shared" si="22"/>
        <v>0</v>
      </c>
      <c r="J212">
        <f t="shared" si="23"/>
        <v>0</v>
      </c>
      <c r="K212">
        <v>107970.19</v>
      </c>
      <c r="L212">
        <v>12870</v>
      </c>
      <c r="M212">
        <v>2.9000000000000001E-2</v>
      </c>
      <c r="N212">
        <v>31</v>
      </c>
      <c r="O212">
        <v>91.7</v>
      </c>
      <c r="P212">
        <v>3.82</v>
      </c>
      <c r="Q212">
        <v>1</v>
      </c>
      <c r="R212">
        <v>3.7</v>
      </c>
      <c r="S212">
        <v>946833.54</v>
      </c>
      <c r="T212">
        <v>184540.31</v>
      </c>
    </row>
    <row r="213" spans="1:20">
      <c r="A213" t="s">
        <v>74</v>
      </c>
      <c r="B213" s="2">
        <v>45748</v>
      </c>
      <c r="C213" t="s">
        <v>15</v>
      </c>
      <c r="D213">
        <f t="shared" si="18"/>
        <v>0</v>
      </c>
      <c r="E213">
        <f t="shared" si="19"/>
        <v>0</v>
      </c>
      <c r="F213">
        <f t="shared" si="20"/>
        <v>0</v>
      </c>
      <c r="G213" t="s">
        <v>18</v>
      </c>
      <c r="H213">
        <f t="shared" si="21"/>
        <v>1</v>
      </c>
      <c r="I213">
        <f t="shared" si="22"/>
        <v>0</v>
      </c>
      <c r="J213">
        <f t="shared" si="23"/>
        <v>0</v>
      </c>
      <c r="K213">
        <v>49405.75</v>
      </c>
      <c r="L213">
        <v>9752</v>
      </c>
      <c r="M213">
        <v>9.2999999999999999E-2</v>
      </c>
      <c r="N213">
        <v>21</v>
      </c>
      <c r="O213">
        <v>87</v>
      </c>
      <c r="P213">
        <v>12.28</v>
      </c>
      <c r="Q213">
        <v>0</v>
      </c>
      <c r="R213">
        <v>4.0999999999999996</v>
      </c>
      <c r="S213">
        <v>761963.23</v>
      </c>
      <c r="T213">
        <v>150113.60999999999</v>
      </c>
    </row>
    <row r="214" spans="1:20">
      <c r="A214" t="s">
        <v>75</v>
      </c>
      <c r="B214" s="2">
        <v>45658</v>
      </c>
      <c r="C214" t="s">
        <v>27</v>
      </c>
      <c r="D214">
        <f t="shared" si="18"/>
        <v>0</v>
      </c>
      <c r="E214">
        <f t="shared" si="19"/>
        <v>0</v>
      </c>
      <c r="F214">
        <f t="shared" si="20"/>
        <v>1</v>
      </c>
      <c r="G214" t="s">
        <v>16</v>
      </c>
      <c r="H214">
        <f t="shared" si="21"/>
        <v>0</v>
      </c>
      <c r="I214">
        <f t="shared" si="22"/>
        <v>1</v>
      </c>
      <c r="J214">
        <f t="shared" si="23"/>
        <v>0</v>
      </c>
      <c r="K214">
        <v>50887.46</v>
      </c>
      <c r="L214">
        <v>9505</v>
      </c>
      <c r="M214">
        <v>9.0999999999999998E-2</v>
      </c>
      <c r="N214">
        <v>25</v>
      </c>
      <c r="O214">
        <v>89.7</v>
      </c>
      <c r="P214">
        <v>2.8</v>
      </c>
      <c r="Q214">
        <v>0</v>
      </c>
      <c r="R214">
        <v>4.3</v>
      </c>
      <c r="S214">
        <v>812152.6</v>
      </c>
      <c r="T214">
        <v>138419.43</v>
      </c>
    </row>
    <row r="215" spans="1:20">
      <c r="A215" t="s">
        <v>75</v>
      </c>
      <c r="B215" s="2">
        <v>45689</v>
      </c>
      <c r="C215" t="s">
        <v>27</v>
      </c>
      <c r="D215">
        <f t="shared" si="18"/>
        <v>0</v>
      </c>
      <c r="E215">
        <f t="shared" si="19"/>
        <v>0</v>
      </c>
      <c r="F215">
        <f t="shared" si="20"/>
        <v>1</v>
      </c>
      <c r="G215" t="s">
        <v>16</v>
      </c>
      <c r="H215">
        <f t="shared" si="21"/>
        <v>0</v>
      </c>
      <c r="I215">
        <f t="shared" si="22"/>
        <v>1</v>
      </c>
      <c r="J215">
        <f t="shared" si="23"/>
        <v>0</v>
      </c>
      <c r="K215">
        <v>41819.449999999997</v>
      </c>
      <c r="L215">
        <v>9412</v>
      </c>
      <c r="M215">
        <v>0.15</v>
      </c>
      <c r="N215">
        <v>22</v>
      </c>
      <c r="O215">
        <v>91</v>
      </c>
      <c r="P215">
        <v>3.67</v>
      </c>
      <c r="Q215">
        <v>0</v>
      </c>
      <c r="R215">
        <v>4.2</v>
      </c>
      <c r="S215">
        <v>804975.5</v>
      </c>
      <c r="T215">
        <v>140054.5</v>
      </c>
    </row>
    <row r="216" spans="1:20">
      <c r="A216" t="s">
        <v>75</v>
      </c>
      <c r="B216" s="2">
        <v>45717</v>
      </c>
      <c r="C216" t="s">
        <v>27</v>
      </c>
      <c r="D216">
        <f t="shared" si="18"/>
        <v>0</v>
      </c>
      <c r="E216">
        <f t="shared" si="19"/>
        <v>0</v>
      </c>
      <c r="F216">
        <f t="shared" si="20"/>
        <v>1</v>
      </c>
      <c r="G216" t="s">
        <v>16</v>
      </c>
      <c r="H216">
        <f t="shared" si="21"/>
        <v>0</v>
      </c>
      <c r="I216">
        <f t="shared" si="22"/>
        <v>1</v>
      </c>
      <c r="J216">
        <f t="shared" si="23"/>
        <v>0</v>
      </c>
      <c r="K216">
        <v>35296.54</v>
      </c>
      <c r="L216">
        <v>9644</v>
      </c>
      <c r="M216">
        <v>0</v>
      </c>
      <c r="N216">
        <v>22</v>
      </c>
      <c r="O216">
        <v>88</v>
      </c>
      <c r="P216">
        <v>2.81</v>
      </c>
      <c r="Q216">
        <v>0</v>
      </c>
      <c r="R216">
        <v>4.7</v>
      </c>
      <c r="S216">
        <v>752321.72</v>
      </c>
      <c r="T216">
        <v>137788.51</v>
      </c>
    </row>
    <row r="217" spans="1:20">
      <c r="A217" t="s">
        <v>75</v>
      </c>
      <c r="B217" s="2">
        <v>45748</v>
      </c>
      <c r="C217" t="s">
        <v>27</v>
      </c>
      <c r="D217">
        <f t="shared" si="18"/>
        <v>0</v>
      </c>
      <c r="E217">
        <f t="shared" si="19"/>
        <v>0</v>
      </c>
      <c r="F217">
        <f t="shared" si="20"/>
        <v>1</v>
      </c>
      <c r="G217" t="s">
        <v>16</v>
      </c>
      <c r="H217">
        <f t="shared" si="21"/>
        <v>0</v>
      </c>
      <c r="I217">
        <f t="shared" si="22"/>
        <v>1</v>
      </c>
      <c r="J217">
        <f t="shared" si="23"/>
        <v>0</v>
      </c>
      <c r="K217">
        <v>47391.09</v>
      </c>
      <c r="L217">
        <v>11224</v>
      </c>
      <c r="M217">
        <v>0.14699999999999999</v>
      </c>
      <c r="N217">
        <v>25</v>
      </c>
      <c r="O217">
        <v>88.4</v>
      </c>
      <c r="P217">
        <v>2.44</v>
      </c>
      <c r="Q217">
        <v>0</v>
      </c>
      <c r="R217">
        <v>4.9000000000000004</v>
      </c>
      <c r="S217">
        <v>836908.24</v>
      </c>
      <c r="T217">
        <v>141090.26</v>
      </c>
    </row>
    <row r="218" spans="1:20">
      <c r="A218" t="s">
        <v>76</v>
      </c>
      <c r="B218" s="2">
        <v>45658</v>
      </c>
      <c r="C218" t="s">
        <v>20</v>
      </c>
      <c r="D218">
        <f t="shared" si="18"/>
        <v>1</v>
      </c>
      <c r="E218">
        <f t="shared" si="19"/>
        <v>0</v>
      </c>
      <c r="F218">
        <f t="shared" si="20"/>
        <v>0</v>
      </c>
      <c r="G218" t="s">
        <v>21</v>
      </c>
      <c r="H218">
        <f t="shared" si="21"/>
        <v>0</v>
      </c>
      <c r="I218">
        <f t="shared" si="22"/>
        <v>0</v>
      </c>
      <c r="J218">
        <f t="shared" si="23"/>
        <v>1</v>
      </c>
      <c r="K218">
        <v>69180.539999999994</v>
      </c>
      <c r="L218">
        <v>5394</v>
      </c>
      <c r="M218">
        <v>0.126</v>
      </c>
      <c r="N218">
        <v>12</v>
      </c>
      <c r="O218">
        <v>82.9</v>
      </c>
      <c r="P218">
        <v>3.27</v>
      </c>
      <c r="Q218">
        <v>0</v>
      </c>
      <c r="R218">
        <v>3.3</v>
      </c>
      <c r="S218">
        <v>674289.1</v>
      </c>
      <c r="T218">
        <v>117773.79</v>
      </c>
    </row>
    <row r="219" spans="1:20">
      <c r="A219" t="s">
        <v>76</v>
      </c>
      <c r="B219" s="2">
        <v>45689</v>
      </c>
      <c r="C219" t="s">
        <v>20</v>
      </c>
      <c r="D219">
        <f t="shared" si="18"/>
        <v>1</v>
      </c>
      <c r="E219">
        <f t="shared" si="19"/>
        <v>0</v>
      </c>
      <c r="F219">
        <f t="shared" si="20"/>
        <v>0</v>
      </c>
      <c r="G219" t="s">
        <v>21</v>
      </c>
      <c r="H219">
        <f t="shared" si="21"/>
        <v>0</v>
      </c>
      <c r="I219">
        <f t="shared" si="22"/>
        <v>0</v>
      </c>
      <c r="J219">
        <f t="shared" si="23"/>
        <v>1</v>
      </c>
      <c r="K219">
        <v>33987.33</v>
      </c>
      <c r="L219">
        <v>5014</v>
      </c>
      <c r="M219">
        <v>0.246</v>
      </c>
      <c r="N219">
        <v>17</v>
      </c>
      <c r="O219">
        <v>94.3</v>
      </c>
      <c r="P219">
        <v>10.34</v>
      </c>
      <c r="Q219">
        <v>0</v>
      </c>
      <c r="R219">
        <v>3.9</v>
      </c>
      <c r="S219">
        <v>622892.42000000004</v>
      </c>
      <c r="T219">
        <v>101032.52</v>
      </c>
    </row>
    <row r="220" spans="1:20">
      <c r="A220" t="s">
        <v>76</v>
      </c>
      <c r="B220" s="2">
        <v>45717</v>
      </c>
      <c r="C220" t="s">
        <v>20</v>
      </c>
      <c r="D220">
        <f t="shared" si="18"/>
        <v>1</v>
      </c>
      <c r="E220">
        <f t="shared" si="19"/>
        <v>0</v>
      </c>
      <c r="F220">
        <f t="shared" si="20"/>
        <v>0</v>
      </c>
      <c r="G220" t="s">
        <v>21</v>
      </c>
      <c r="H220">
        <f t="shared" si="21"/>
        <v>0</v>
      </c>
      <c r="I220">
        <f t="shared" si="22"/>
        <v>0</v>
      </c>
      <c r="J220">
        <f t="shared" si="23"/>
        <v>1</v>
      </c>
      <c r="K220">
        <v>58785.33</v>
      </c>
      <c r="L220">
        <v>4467</v>
      </c>
      <c r="M220">
        <v>0.22900000000000001</v>
      </c>
      <c r="N220">
        <v>14</v>
      </c>
      <c r="O220">
        <v>90.7</v>
      </c>
      <c r="P220">
        <v>1.92</v>
      </c>
      <c r="Q220">
        <v>0</v>
      </c>
      <c r="R220">
        <v>3.7</v>
      </c>
      <c r="S220">
        <v>673348.56</v>
      </c>
      <c r="T220">
        <v>69464.59</v>
      </c>
    </row>
    <row r="221" spans="1:20">
      <c r="A221" t="s">
        <v>76</v>
      </c>
      <c r="B221" s="2">
        <v>45748</v>
      </c>
      <c r="C221" t="s">
        <v>20</v>
      </c>
      <c r="D221">
        <f t="shared" si="18"/>
        <v>1</v>
      </c>
      <c r="E221">
        <f t="shared" si="19"/>
        <v>0</v>
      </c>
      <c r="F221">
        <f t="shared" si="20"/>
        <v>0</v>
      </c>
      <c r="G221" t="s">
        <v>21</v>
      </c>
      <c r="H221">
        <f t="shared" si="21"/>
        <v>0</v>
      </c>
      <c r="I221">
        <f t="shared" si="22"/>
        <v>0</v>
      </c>
      <c r="J221">
        <f t="shared" si="23"/>
        <v>1</v>
      </c>
      <c r="K221">
        <v>16451.849999999999</v>
      </c>
      <c r="L221">
        <v>4678</v>
      </c>
      <c r="M221">
        <v>0.13300000000000001</v>
      </c>
      <c r="N221">
        <v>11</v>
      </c>
      <c r="O221">
        <v>95.9</v>
      </c>
      <c r="P221">
        <v>3.1</v>
      </c>
      <c r="Q221">
        <v>0</v>
      </c>
      <c r="R221">
        <v>3.9</v>
      </c>
      <c r="S221">
        <v>606278.30000000005</v>
      </c>
      <c r="T221">
        <v>102213.26</v>
      </c>
    </row>
    <row r="222" spans="1:20">
      <c r="A222" t="s">
        <v>77</v>
      </c>
      <c r="B222" s="2">
        <v>45658</v>
      </c>
      <c r="C222" t="s">
        <v>15</v>
      </c>
      <c r="D222">
        <f t="shared" si="18"/>
        <v>0</v>
      </c>
      <c r="E222">
        <f t="shared" si="19"/>
        <v>0</v>
      </c>
      <c r="F222">
        <f t="shared" si="20"/>
        <v>0</v>
      </c>
      <c r="G222" t="s">
        <v>18</v>
      </c>
      <c r="H222">
        <f t="shared" si="21"/>
        <v>1</v>
      </c>
      <c r="I222">
        <f t="shared" si="22"/>
        <v>0</v>
      </c>
      <c r="J222">
        <f t="shared" si="23"/>
        <v>0</v>
      </c>
      <c r="K222">
        <v>53367.73</v>
      </c>
      <c r="L222">
        <v>7291</v>
      </c>
      <c r="M222">
        <v>0.14599999999999999</v>
      </c>
      <c r="N222">
        <v>18</v>
      </c>
      <c r="O222">
        <v>90.6</v>
      </c>
      <c r="P222">
        <v>6.34</v>
      </c>
      <c r="Q222">
        <v>1</v>
      </c>
      <c r="R222">
        <v>3.8</v>
      </c>
      <c r="S222">
        <v>712219.81</v>
      </c>
      <c r="T222">
        <v>85906.54</v>
      </c>
    </row>
    <row r="223" spans="1:20">
      <c r="A223" t="s">
        <v>77</v>
      </c>
      <c r="B223" s="2">
        <v>45689</v>
      </c>
      <c r="C223" t="s">
        <v>15</v>
      </c>
      <c r="D223">
        <f t="shared" si="18"/>
        <v>0</v>
      </c>
      <c r="E223">
        <f t="shared" si="19"/>
        <v>0</v>
      </c>
      <c r="F223">
        <f t="shared" si="20"/>
        <v>0</v>
      </c>
      <c r="G223" t="s">
        <v>18</v>
      </c>
      <c r="H223">
        <f t="shared" si="21"/>
        <v>1</v>
      </c>
      <c r="I223">
        <f t="shared" si="22"/>
        <v>0</v>
      </c>
      <c r="J223">
        <f t="shared" si="23"/>
        <v>0</v>
      </c>
      <c r="K223">
        <v>27194.639999999999</v>
      </c>
      <c r="L223">
        <v>7404</v>
      </c>
      <c r="M223">
        <v>8.7999999999999995E-2</v>
      </c>
      <c r="N223">
        <v>18</v>
      </c>
      <c r="O223">
        <v>90.2</v>
      </c>
      <c r="P223">
        <v>1.2</v>
      </c>
      <c r="Q223">
        <v>0</v>
      </c>
      <c r="R223">
        <v>3.4</v>
      </c>
      <c r="S223">
        <v>672670.54</v>
      </c>
      <c r="T223">
        <v>132684.18</v>
      </c>
    </row>
    <row r="224" spans="1:20">
      <c r="A224" t="s">
        <v>77</v>
      </c>
      <c r="B224" s="2">
        <v>45717</v>
      </c>
      <c r="C224" t="s">
        <v>15</v>
      </c>
      <c r="D224">
        <f t="shared" si="18"/>
        <v>0</v>
      </c>
      <c r="E224">
        <f t="shared" si="19"/>
        <v>0</v>
      </c>
      <c r="F224">
        <f t="shared" si="20"/>
        <v>0</v>
      </c>
      <c r="G224" t="s">
        <v>18</v>
      </c>
      <c r="H224">
        <f t="shared" si="21"/>
        <v>1</v>
      </c>
      <c r="I224">
        <f t="shared" si="22"/>
        <v>0</v>
      </c>
      <c r="J224">
        <f t="shared" si="23"/>
        <v>0</v>
      </c>
      <c r="K224">
        <v>66962.740000000005</v>
      </c>
      <c r="L224">
        <v>7880</v>
      </c>
      <c r="M224">
        <v>0.11600000000000001</v>
      </c>
      <c r="N224">
        <v>19</v>
      </c>
      <c r="O224">
        <v>90.4</v>
      </c>
      <c r="P224">
        <v>4.5</v>
      </c>
      <c r="Q224">
        <v>0</v>
      </c>
      <c r="R224">
        <v>3.3</v>
      </c>
      <c r="S224">
        <v>732667.92</v>
      </c>
      <c r="T224">
        <v>128654.46</v>
      </c>
    </row>
    <row r="225" spans="1:20">
      <c r="A225" t="s">
        <v>77</v>
      </c>
      <c r="B225" s="2">
        <v>45748</v>
      </c>
      <c r="C225" t="s">
        <v>15</v>
      </c>
      <c r="D225">
        <f t="shared" si="18"/>
        <v>0</v>
      </c>
      <c r="E225">
        <f t="shared" si="19"/>
        <v>0</v>
      </c>
      <c r="F225">
        <f t="shared" si="20"/>
        <v>0</v>
      </c>
      <c r="G225" t="s">
        <v>18</v>
      </c>
      <c r="H225">
        <f t="shared" si="21"/>
        <v>1</v>
      </c>
      <c r="I225">
        <f t="shared" si="22"/>
        <v>0</v>
      </c>
      <c r="J225">
        <f t="shared" si="23"/>
        <v>0</v>
      </c>
      <c r="K225">
        <v>73540.990000000005</v>
      </c>
      <c r="L225">
        <v>8773</v>
      </c>
      <c r="M225">
        <v>3.5000000000000003E-2</v>
      </c>
      <c r="N225">
        <v>21</v>
      </c>
      <c r="O225">
        <v>84.4</v>
      </c>
      <c r="P225">
        <v>6.68</v>
      </c>
      <c r="Q225">
        <v>0</v>
      </c>
      <c r="R225">
        <v>3.6</v>
      </c>
      <c r="S225">
        <v>723531.4</v>
      </c>
      <c r="T225">
        <v>108794.85</v>
      </c>
    </row>
    <row r="226" spans="1:20">
      <c r="A226" t="s">
        <v>78</v>
      </c>
      <c r="B226" s="2">
        <v>45658</v>
      </c>
      <c r="C226" t="s">
        <v>15</v>
      </c>
      <c r="D226">
        <f t="shared" si="18"/>
        <v>0</v>
      </c>
      <c r="E226">
        <f t="shared" si="19"/>
        <v>0</v>
      </c>
      <c r="F226">
        <f t="shared" si="20"/>
        <v>0</v>
      </c>
      <c r="G226" t="s">
        <v>28</v>
      </c>
      <c r="H226">
        <f t="shared" si="21"/>
        <v>0</v>
      </c>
      <c r="I226">
        <f t="shared" si="22"/>
        <v>0</v>
      </c>
      <c r="J226">
        <f t="shared" si="23"/>
        <v>0</v>
      </c>
      <c r="K226">
        <v>68212.289999999994</v>
      </c>
      <c r="L226">
        <v>4713</v>
      </c>
      <c r="M226">
        <v>0.19800000000000001</v>
      </c>
      <c r="N226">
        <v>15</v>
      </c>
      <c r="O226">
        <v>82.6</v>
      </c>
      <c r="P226">
        <v>4.07</v>
      </c>
      <c r="Q226">
        <v>1</v>
      </c>
      <c r="R226">
        <v>3</v>
      </c>
      <c r="S226">
        <v>641564.6</v>
      </c>
      <c r="T226">
        <v>90468.96</v>
      </c>
    </row>
    <row r="227" spans="1:20">
      <c r="A227" t="s">
        <v>78</v>
      </c>
      <c r="B227" s="2">
        <v>45689</v>
      </c>
      <c r="C227" t="s">
        <v>15</v>
      </c>
      <c r="D227">
        <f t="shared" si="18"/>
        <v>0</v>
      </c>
      <c r="E227">
        <f t="shared" si="19"/>
        <v>0</v>
      </c>
      <c r="F227">
        <f t="shared" si="20"/>
        <v>0</v>
      </c>
      <c r="G227" t="s">
        <v>28</v>
      </c>
      <c r="H227">
        <f t="shared" si="21"/>
        <v>0</v>
      </c>
      <c r="I227">
        <f t="shared" si="22"/>
        <v>0</v>
      </c>
      <c r="J227">
        <f t="shared" si="23"/>
        <v>0</v>
      </c>
      <c r="K227">
        <v>57225.98</v>
      </c>
      <c r="L227">
        <v>2842</v>
      </c>
      <c r="M227">
        <v>0.112</v>
      </c>
      <c r="N227">
        <v>10</v>
      </c>
      <c r="O227">
        <v>79.5</v>
      </c>
      <c r="P227">
        <v>5.45</v>
      </c>
      <c r="Q227">
        <v>0</v>
      </c>
      <c r="R227">
        <v>3.4</v>
      </c>
      <c r="S227">
        <v>536545.49</v>
      </c>
      <c r="T227">
        <v>97917.45</v>
      </c>
    </row>
    <row r="228" spans="1:20">
      <c r="A228" t="s">
        <v>78</v>
      </c>
      <c r="B228" s="2">
        <v>45717</v>
      </c>
      <c r="C228" t="s">
        <v>15</v>
      </c>
      <c r="D228">
        <f t="shared" si="18"/>
        <v>0</v>
      </c>
      <c r="E228">
        <f t="shared" si="19"/>
        <v>0</v>
      </c>
      <c r="F228">
        <f t="shared" si="20"/>
        <v>0</v>
      </c>
      <c r="G228" t="s">
        <v>28</v>
      </c>
      <c r="H228">
        <f t="shared" si="21"/>
        <v>0</v>
      </c>
      <c r="I228">
        <f t="shared" si="22"/>
        <v>0</v>
      </c>
      <c r="J228">
        <f t="shared" si="23"/>
        <v>0</v>
      </c>
      <c r="K228">
        <v>42932.02</v>
      </c>
      <c r="L228">
        <v>3872</v>
      </c>
      <c r="M228">
        <v>0.17100000000000001</v>
      </c>
      <c r="N228">
        <v>12</v>
      </c>
      <c r="O228">
        <v>83.2</v>
      </c>
      <c r="P228">
        <v>15.58</v>
      </c>
      <c r="Q228">
        <v>0</v>
      </c>
      <c r="R228">
        <v>3.3</v>
      </c>
      <c r="S228">
        <v>527681.56000000006</v>
      </c>
      <c r="T228">
        <v>63153.05</v>
      </c>
    </row>
    <row r="229" spans="1:20">
      <c r="A229" t="s">
        <v>78</v>
      </c>
      <c r="B229" s="2">
        <v>45748</v>
      </c>
      <c r="C229" t="s">
        <v>15</v>
      </c>
      <c r="D229">
        <f t="shared" si="18"/>
        <v>0</v>
      </c>
      <c r="E229">
        <f t="shared" si="19"/>
        <v>0</v>
      </c>
      <c r="F229">
        <f t="shared" si="20"/>
        <v>0</v>
      </c>
      <c r="G229" t="s">
        <v>28</v>
      </c>
      <c r="H229">
        <f t="shared" si="21"/>
        <v>0</v>
      </c>
      <c r="I229">
        <f t="shared" si="22"/>
        <v>0</v>
      </c>
      <c r="J229">
        <f t="shared" si="23"/>
        <v>0</v>
      </c>
      <c r="K229">
        <v>39341.449999999997</v>
      </c>
      <c r="L229">
        <v>1375</v>
      </c>
      <c r="M229">
        <v>9.2999999999999999E-2</v>
      </c>
      <c r="N229">
        <v>5</v>
      </c>
      <c r="O229">
        <v>95</v>
      </c>
      <c r="P229">
        <v>5.32</v>
      </c>
      <c r="Q229">
        <v>0</v>
      </c>
      <c r="R229">
        <v>3.92</v>
      </c>
      <c r="S229">
        <v>529598.93999999994</v>
      </c>
      <c r="T229">
        <v>84334.33</v>
      </c>
    </row>
    <row r="230" spans="1:20">
      <c r="A230" t="s">
        <v>79</v>
      </c>
      <c r="B230" s="2">
        <v>45658</v>
      </c>
      <c r="C230" t="s">
        <v>15</v>
      </c>
      <c r="D230">
        <f t="shared" si="18"/>
        <v>0</v>
      </c>
      <c r="E230">
        <f t="shared" si="19"/>
        <v>0</v>
      </c>
      <c r="F230">
        <f t="shared" si="20"/>
        <v>0</v>
      </c>
      <c r="G230" t="s">
        <v>18</v>
      </c>
      <c r="H230">
        <f t="shared" si="21"/>
        <v>1</v>
      </c>
      <c r="I230">
        <f t="shared" si="22"/>
        <v>0</v>
      </c>
      <c r="J230">
        <f t="shared" si="23"/>
        <v>0</v>
      </c>
      <c r="K230">
        <v>37324.230000000003</v>
      </c>
      <c r="L230">
        <v>5957</v>
      </c>
      <c r="M230">
        <v>7.0999999999999994E-2</v>
      </c>
      <c r="N230">
        <v>12</v>
      </c>
      <c r="O230">
        <v>85.9</v>
      </c>
      <c r="P230">
        <v>0.37</v>
      </c>
      <c r="Q230">
        <v>0</v>
      </c>
      <c r="R230">
        <v>3.8</v>
      </c>
      <c r="S230">
        <v>570963.31000000006</v>
      </c>
      <c r="T230">
        <v>87342.25</v>
      </c>
    </row>
    <row r="231" spans="1:20">
      <c r="A231" t="s">
        <v>79</v>
      </c>
      <c r="B231" s="2">
        <v>45689</v>
      </c>
      <c r="C231" t="s">
        <v>15</v>
      </c>
      <c r="D231">
        <f t="shared" si="18"/>
        <v>0</v>
      </c>
      <c r="E231">
        <f t="shared" si="19"/>
        <v>0</v>
      </c>
      <c r="F231">
        <f t="shared" si="20"/>
        <v>0</v>
      </c>
      <c r="G231" t="s">
        <v>18</v>
      </c>
      <c r="H231">
        <f t="shared" si="21"/>
        <v>1</v>
      </c>
      <c r="I231">
        <f t="shared" si="22"/>
        <v>0</v>
      </c>
      <c r="J231">
        <f t="shared" si="23"/>
        <v>0</v>
      </c>
      <c r="K231">
        <v>113736</v>
      </c>
      <c r="L231">
        <v>8961</v>
      </c>
      <c r="M231">
        <v>0.20200000000000001</v>
      </c>
      <c r="N231">
        <v>24</v>
      </c>
      <c r="O231">
        <v>86.2</v>
      </c>
      <c r="P231">
        <v>21.63</v>
      </c>
      <c r="Q231">
        <v>0</v>
      </c>
      <c r="R231">
        <v>4</v>
      </c>
      <c r="S231">
        <v>870937.4</v>
      </c>
      <c r="T231">
        <v>175282.74</v>
      </c>
    </row>
    <row r="232" spans="1:20">
      <c r="A232" t="s">
        <v>79</v>
      </c>
      <c r="B232" s="2">
        <v>45717</v>
      </c>
      <c r="C232" t="s">
        <v>15</v>
      </c>
      <c r="D232">
        <f t="shared" si="18"/>
        <v>0</v>
      </c>
      <c r="E232">
        <f t="shared" si="19"/>
        <v>0</v>
      </c>
      <c r="F232">
        <f t="shared" si="20"/>
        <v>0</v>
      </c>
      <c r="G232" t="s">
        <v>18</v>
      </c>
      <c r="H232">
        <f t="shared" si="21"/>
        <v>1</v>
      </c>
      <c r="I232">
        <f t="shared" si="22"/>
        <v>0</v>
      </c>
      <c r="J232">
        <f t="shared" si="23"/>
        <v>0</v>
      </c>
      <c r="K232">
        <v>33173.949999999997</v>
      </c>
      <c r="L232">
        <v>6545</v>
      </c>
      <c r="M232">
        <v>0.16900000000000001</v>
      </c>
      <c r="N232">
        <v>15</v>
      </c>
      <c r="O232">
        <v>84.4</v>
      </c>
      <c r="P232">
        <v>2.48</v>
      </c>
      <c r="Q232">
        <v>0</v>
      </c>
      <c r="R232">
        <v>3.9</v>
      </c>
      <c r="S232">
        <v>596969.27</v>
      </c>
      <c r="T232">
        <v>105669.51</v>
      </c>
    </row>
    <row r="233" spans="1:20">
      <c r="A233" t="s">
        <v>79</v>
      </c>
      <c r="B233" s="2">
        <v>45748</v>
      </c>
      <c r="C233" t="s">
        <v>15</v>
      </c>
      <c r="D233">
        <f t="shared" si="18"/>
        <v>0</v>
      </c>
      <c r="E233">
        <f t="shared" si="19"/>
        <v>0</v>
      </c>
      <c r="F233">
        <f t="shared" si="20"/>
        <v>0</v>
      </c>
      <c r="G233" t="s">
        <v>18</v>
      </c>
      <c r="H233">
        <f t="shared" si="21"/>
        <v>1</v>
      </c>
      <c r="I233">
        <f t="shared" si="22"/>
        <v>0</v>
      </c>
      <c r="J233">
        <f t="shared" si="23"/>
        <v>0</v>
      </c>
      <c r="K233">
        <v>25818.080000000002</v>
      </c>
      <c r="L233">
        <v>5457</v>
      </c>
      <c r="M233">
        <v>0</v>
      </c>
      <c r="N233">
        <v>11</v>
      </c>
      <c r="O233">
        <v>95.4</v>
      </c>
      <c r="P233">
        <v>3.3650000000000002</v>
      </c>
      <c r="Q233">
        <v>0</v>
      </c>
      <c r="R233">
        <v>3.7</v>
      </c>
      <c r="S233">
        <v>647512.85</v>
      </c>
      <c r="T233">
        <v>153835.57</v>
      </c>
    </row>
    <row r="234" spans="1:20">
      <c r="A234" t="s">
        <v>80</v>
      </c>
      <c r="B234" s="2">
        <v>45658</v>
      </c>
      <c r="C234" t="s">
        <v>27</v>
      </c>
      <c r="D234">
        <f t="shared" si="18"/>
        <v>0</v>
      </c>
      <c r="E234">
        <f t="shared" si="19"/>
        <v>0</v>
      </c>
      <c r="F234">
        <f t="shared" si="20"/>
        <v>1</v>
      </c>
      <c r="G234" t="s">
        <v>16</v>
      </c>
      <c r="H234">
        <f t="shared" si="21"/>
        <v>0</v>
      </c>
      <c r="I234">
        <f t="shared" si="22"/>
        <v>1</v>
      </c>
      <c r="J234">
        <f t="shared" si="23"/>
        <v>0</v>
      </c>
      <c r="K234">
        <v>47241.919999999998</v>
      </c>
      <c r="L234">
        <v>4264</v>
      </c>
      <c r="M234">
        <v>6.9000000000000006E-2</v>
      </c>
      <c r="N234">
        <v>13</v>
      </c>
      <c r="O234">
        <v>95.3</v>
      </c>
      <c r="P234">
        <v>0.85</v>
      </c>
      <c r="Q234">
        <v>0</v>
      </c>
      <c r="R234">
        <v>4.3</v>
      </c>
      <c r="S234">
        <v>658072.14</v>
      </c>
      <c r="T234">
        <v>110595.89</v>
      </c>
    </row>
    <row r="235" spans="1:20">
      <c r="A235" t="s">
        <v>80</v>
      </c>
      <c r="B235" s="2">
        <v>45689</v>
      </c>
      <c r="C235" t="s">
        <v>27</v>
      </c>
      <c r="D235">
        <f t="shared" si="18"/>
        <v>0</v>
      </c>
      <c r="E235">
        <f t="shared" si="19"/>
        <v>0</v>
      </c>
      <c r="F235">
        <f t="shared" si="20"/>
        <v>1</v>
      </c>
      <c r="G235" t="s">
        <v>16</v>
      </c>
      <c r="H235">
        <f t="shared" si="21"/>
        <v>0</v>
      </c>
      <c r="I235">
        <f t="shared" si="22"/>
        <v>1</v>
      </c>
      <c r="J235">
        <f t="shared" si="23"/>
        <v>0</v>
      </c>
      <c r="K235">
        <v>61650.79</v>
      </c>
      <c r="L235">
        <v>5321</v>
      </c>
      <c r="M235">
        <v>0.126</v>
      </c>
      <c r="N235">
        <v>17</v>
      </c>
      <c r="O235">
        <v>89.2</v>
      </c>
      <c r="P235">
        <v>2.13</v>
      </c>
      <c r="Q235">
        <v>0</v>
      </c>
      <c r="R235">
        <v>4</v>
      </c>
      <c r="S235">
        <v>723305.11</v>
      </c>
      <c r="T235">
        <v>128468.7</v>
      </c>
    </row>
    <row r="236" spans="1:20">
      <c r="A236" t="s">
        <v>80</v>
      </c>
      <c r="B236" s="2">
        <v>45717</v>
      </c>
      <c r="C236" t="s">
        <v>27</v>
      </c>
      <c r="D236">
        <f t="shared" si="18"/>
        <v>0</v>
      </c>
      <c r="E236">
        <f t="shared" si="19"/>
        <v>0</v>
      </c>
      <c r="F236">
        <f t="shared" si="20"/>
        <v>1</v>
      </c>
      <c r="G236" t="s">
        <v>16</v>
      </c>
      <c r="H236">
        <f t="shared" si="21"/>
        <v>0</v>
      </c>
      <c r="I236">
        <f t="shared" si="22"/>
        <v>1</v>
      </c>
      <c r="J236">
        <f t="shared" si="23"/>
        <v>0</v>
      </c>
      <c r="K236">
        <v>62582.71</v>
      </c>
      <c r="L236">
        <v>5479</v>
      </c>
      <c r="M236">
        <v>4.8000000000000001E-2</v>
      </c>
      <c r="N236">
        <v>16</v>
      </c>
      <c r="O236">
        <v>81.2</v>
      </c>
      <c r="P236">
        <v>1.46</v>
      </c>
      <c r="Q236">
        <v>0</v>
      </c>
      <c r="R236">
        <v>4.5</v>
      </c>
      <c r="S236">
        <v>640666.53</v>
      </c>
      <c r="T236">
        <v>134919.16</v>
      </c>
    </row>
    <row r="237" spans="1:20">
      <c r="A237" t="s">
        <v>80</v>
      </c>
      <c r="B237" s="2">
        <v>45748</v>
      </c>
      <c r="C237" t="s">
        <v>27</v>
      </c>
      <c r="D237">
        <f t="shared" si="18"/>
        <v>0</v>
      </c>
      <c r="E237">
        <f t="shared" si="19"/>
        <v>0</v>
      </c>
      <c r="F237">
        <f t="shared" si="20"/>
        <v>1</v>
      </c>
      <c r="G237" t="s">
        <v>16</v>
      </c>
      <c r="H237">
        <f t="shared" si="21"/>
        <v>0</v>
      </c>
      <c r="I237">
        <f t="shared" si="22"/>
        <v>1</v>
      </c>
      <c r="J237">
        <f t="shared" si="23"/>
        <v>0</v>
      </c>
      <c r="K237">
        <v>47944.14</v>
      </c>
      <c r="L237">
        <v>6169</v>
      </c>
      <c r="M237">
        <v>0.11899999999999999</v>
      </c>
      <c r="N237">
        <v>17</v>
      </c>
      <c r="O237">
        <v>92.2</v>
      </c>
      <c r="P237">
        <v>3.02</v>
      </c>
      <c r="Q237">
        <v>0</v>
      </c>
      <c r="R237">
        <v>4.0999999999999996</v>
      </c>
      <c r="S237">
        <v>670629.48</v>
      </c>
      <c r="T237">
        <v>100140.8</v>
      </c>
    </row>
    <row r="238" spans="1:20">
      <c r="A238" t="s">
        <v>81</v>
      </c>
      <c r="B238" s="2">
        <v>45658</v>
      </c>
      <c r="C238" t="s">
        <v>27</v>
      </c>
      <c r="D238">
        <f t="shared" si="18"/>
        <v>0</v>
      </c>
      <c r="E238">
        <f t="shared" si="19"/>
        <v>0</v>
      </c>
      <c r="F238">
        <f t="shared" si="20"/>
        <v>1</v>
      </c>
      <c r="G238" t="s">
        <v>28</v>
      </c>
      <c r="H238">
        <f t="shared" si="21"/>
        <v>0</v>
      </c>
      <c r="I238">
        <f t="shared" si="22"/>
        <v>0</v>
      </c>
      <c r="J238">
        <f t="shared" si="23"/>
        <v>0</v>
      </c>
      <c r="K238">
        <v>46495.4</v>
      </c>
      <c r="L238">
        <v>9908</v>
      </c>
      <c r="M238">
        <v>0.121</v>
      </c>
      <c r="N238">
        <v>22</v>
      </c>
      <c r="O238">
        <v>89.4</v>
      </c>
      <c r="P238">
        <v>3.22</v>
      </c>
      <c r="Q238">
        <v>0</v>
      </c>
      <c r="R238">
        <v>3.7</v>
      </c>
      <c r="S238">
        <v>721079.35</v>
      </c>
      <c r="T238">
        <v>115295.05</v>
      </c>
    </row>
    <row r="239" spans="1:20">
      <c r="A239" t="s">
        <v>81</v>
      </c>
      <c r="B239" s="2">
        <v>45689</v>
      </c>
      <c r="C239" t="s">
        <v>27</v>
      </c>
      <c r="D239">
        <f t="shared" si="18"/>
        <v>0</v>
      </c>
      <c r="E239">
        <f t="shared" si="19"/>
        <v>0</v>
      </c>
      <c r="F239">
        <f t="shared" si="20"/>
        <v>1</v>
      </c>
      <c r="G239" t="s">
        <v>28</v>
      </c>
      <c r="H239">
        <f t="shared" si="21"/>
        <v>0</v>
      </c>
      <c r="I239">
        <f t="shared" si="22"/>
        <v>0</v>
      </c>
      <c r="J239">
        <f t="shared" si="23"/>
        <v>0</v>
      </c>
      <c r="K239">
        <v>72961.95</v>
      </c>
      <c r="L239">
        <v>9996</v>
      </c>
      <c r="M239">
        <v>0.106</v>
      </c>
      <c r="N239">
        <v>22</v>
      </c>
      <c r="O239">
        <v>89.1</v>
      </c>
      <c r="P239">
        <v>15.66</v>
      </c>
      <c r="Q239">
        <v>0</v>
      </c>
      <c r="R239">
        <v>3.4</v>
      </c>
      <c r="S239">
        <v>810355.02</v>
      </c>
      <c r="T239">
        <v>131510</v>
      </c>
    </row>
    <row r="240" spans="1:20">
      <c r="A240" t="s">
        <v>81</v>
      </c>
      <c r="B240" s="2">
        <v>45717</v>
      </c>
      <c r="C240" t="s">
        <v>27</v>
      </c>
      <c r="D240">
        <f t="shared" si="18"/>
        <v>0</v>
      </c>
      <c r="E240">
        <f t="shared" si="19"/>
        <v>0</v>
      </c>
      <c r="F240">
        <f t="shared" si="20"/>
        <v>1</v>
      </c>
      <c r="G240" t="s">
        <v>28</v>
      </c>
      <c r="H240">
        <f t="shared" si="21"/>
        <v>0</v>
      </c>
      <c r="I240">
        <f t="shared" si="22"/>
        <v>0</v>
      </c>
      <c r="J240">
        <f t="shared" si="23"/>
        <v>0</v>
      </c>
      <c r="K240">
        <v>59060.05</v>
      </c>
      <c r="L240">
        <v>9702</v>
      </c>
      <c r="M240">
        <v>0.20100000000000001</v>
      </c>
      <c r="N240">
        <v>23</v>
      </c>
      <c r="O240">
        <v>80.900000000000006</v>
      </c>
      <c r="P240">
        <v>6.96</v>
      </c>
      <c r="Q240">
        <v>0</v>
      </c>
      <c r="R240">
        <v>3.2</v>
      </c>
      <c r="S240">
        <v>761919.25</v>
      </c>
      <c r="T240">
        <v>111893.06</v>
      </c>
    </row>
    <row r="241" spans="1:20">
      <c r="A241" t="s">
        <v>81</v>
      </c>
      <c r="B241" s="2">
        <v>45748</v>
      </c>
      <c r="C241" t="s">
        <v>27</v>
      </c>
      <c r="D241">
        <f t="shared" si="18"/>
        <v>0</v>
      </c>
      <c r="E241">
        <f t="shared" si="19"/>
        <v>0</v>
      </c>
      <c r="F241">
        <f t="shared" si="20"/>
        <v>1</v>
      </c>
      <c r="G241" t="s">
        <v>28</v>
      </c>
      <c r="H241">
        <f t="shared" si="21"/>
        <v>0</v>
      </c>
      <c r="I241">
        <f t="shared" si="22"/>
        <v>0</v>
      </c>
      <c r="J241">
        <f t="shared" si="23"/>
        <v>0</v>
      </c>
      <c r="K241">
        <v>26248.1</v>
      </c>
      <c r="L241">
        <v>9314</v>
      </c>
      <c r="M241">
        <v>0.186</v>
      </c>
      <c r="N241">
        <v>21</v>
      </c>
      <c r="O241">
        <v>83.7</v>
      </c>
      <c r="P241">
        <v>4.62</v>
      </c>
      <c r="Q241">
        <v>0</v>
      </c>
      <c r="R241">
        <v>3.3</v>
      </c>
      <c r="S241">
        <v>737070.18</v>
      </c>
      <c r="T241">
        <v>117593.97</v>
      </c>
    </row>
    <row r="242" spans="1:20">
      <c r="A242" t="s">
        <v>82</v>
      </c>
      <c r="B242" s="2">
        <v>45658</v>
      </c>
      <c r="C242" t="s">
        <v>24</v>
      </c>
      <c r="D242">
        <f t="shared" si="18"/>
        <v>0</v>
      </c>
      <c r="E242">
        <f t="shared" si="19"/>
        <v>1</v>
      </c>
      <c r="F242">
        <f t="shared" si="20"/>
        <v>0</v>
      </c>
      <c r="G242" t="s">
        <v>21</v>
      </c>
      <c r="H242">
        <f t="shared" si="21"/>
        <v>0</v>
      </c>
      <c r="I242">
        <f t="shared" si="22"/>
        <v>0</v>
      </c>
      <c r="J242">
        <f t="shared" si="23"/>
        <v>1</v>
      </c>
      <c r="K242">
        <v>69900.12</v>
      </c>
      <c r="L242">
        <v>8055</v>
      </c>
      <c r="M242">
        <v>0.28100000000000003</v>
      </c>
      <c r="N242">
        <v>22</v>
      </c>
      <c r="O242">
        <v>85.6</v>
      </c>
      <c r="P242">
        <v>10.68</v>
      </c>
      <c r="Q242">
        <v>1</v>
      </c>
      <c r="R242">
        <v>2.9</v>
      </c>
      <c r="S242">
        <v>776992.93</v>
      </c>
      <c r="T242">
        <v>101598.32</v>
      </c>
    </row>
    <row r="243" spans="1:20">
      <c r="A243" t="s">
        <v>82</v>
      </c>
      <c r="B243" s="2">
        <v>45689</v>
      </c>
      <c r="C243" t="s">
        <v>24</v>
      </c>
      <c r="D243">
        <f t="shared" si="18"/>
        <v>0</v>
      </c>
      <c r="E243">
        <f t="shared" si="19"/>
        <v>1</v>
      </c>
      <c r="F243">
        <f t="shared" si="20"/>
        <v>0</v>
      </c>
      <c r="G243" t="s">
        <v>21</v>
      </c>
      <c r="H243">
        <f t="shared" si="21"/>
        <v>0</v>
      </c>
      <c r="I243">
        <f t="shared" si="22"/>
        <v>0</v>
      </c>
      <c r="J243">
        <f t="shared" si="23"/>
        <v>1</v>
      </c>
      <c r="K243">
        <v>51781.599999999999</v>
      </c>
      <c r="L243">
        <v>5648</v>
      </c>
      <c r="M243">
        <v>5.8999999999999997E-2</v>
      </c>
      <c r="N243">
        <v>13</v>
      </c>
      <c r="O243">
        <v>85.5</v>
      </c>
      <c r="P243">
        <v>4.04</v>
      </c>
      <c r="Q243">
        <v>0</v>
      </c>
      <c r="R243">
        <v>3.7</v>
      </c>
      <c r="S243">
        <v>676337.41</v>
      </c>
      <c r="T243">
        <v>104355.77</v>
      </c>
    </row>
    <row r="244" spans="1:20">
      <c r="A244" t="s">
        <v>82</v>
      </c>
      <c r="B244" s="2">
        <v>45717</v>
      </c>
      <c r="C244" t="s">
        <v>24</v>
      </c>
      <c r="D244">
        <f t="shared" si="18"/>
        <v>0</v>
      </c>
      <c r="E244">
        <f t="shared" si="19"/>
        <v>1</v>
      </c>
      <c r="F244">
        <f t="shared" si="20"/>
        <v>0</v>
      </c>
      <c r="G244" t="s">
        <v>21</v>
      </c>
      <c r="H244">
        <f t="shared" si="21"/>
        <v>0</v>
      </c>
      <c r="I244">
        <f t="shared" si="22"/>
        <v>0</v>
      </c>
      <c r="J244">
        <f t="shared" si="23"/>
        <v>1</v>
      </c>
      <c r="K244">
        <v>70799.64</v>
      </c>
      <c r="L244">
        <v>10076</v>
      </c>
      <c r="M244">
        <v>0.152</v>
      </c>
      <c r="N244">
        <v>24</v>
      </c>
      <c r="O244">
        <v>84.8</v>
      </c>
      <c r="P244">
        <v>1.87</v>
      </c>
      <c r="Q244">
        <v>0</v>
      </c>
      <c r="R244">
        <v>3.5</v>
      </c>
      <c r="S244">
        <v>828219.67</v>
      </c>
      <c r="T244">
        <v>179806.87</v>
      </c>
    </row>
    <row r="245" spans="1:20">
      <c r="A245" t="s">
        <v>82</v>
      </c>
      <c r="B245" s="2">
        <v>45748</v>
      </c>
      <c r="C245" t="s">
        <v>24</v>
      </c>
      <c r="D245">
        <f t="shared" si="18"/>
        <v>0</v>
      </c>
      <c r="E245">
        <f t="shared" si="19"/>
        <v>1</v>
      </c>
      <c r="F245">
        <f t="shared" si="20"/>
        <v>0</v>
      </c>
      <c r="G245" t="s">
        <v>21</v>
      </c>
      <c r="H245">
        <f t="shared" si="21"/>
        <v>0</v>
      </c>
      <c r="I245">
        <f t="shared" si="22"/>
        <v>0</v>
      </c>
      <c r="J245">
        <f t="shared" si="23"/>
        <v>1</v>
      </c>
      <c r="K245">
        <v>53546.34</v>
      </c>
      <c r="L245">
        <v>8004</v>
      </c>
      <c r="M245">
        <v>0</v>
      </c>
      <c r="N245">
        <v>21</v>
      </c>
      <c r="O245">
        <v>95.2</v>
      </c>
      <c r="P245">
        <v>2.83</v>
      </c>
      <c r="Q245">
        <v>0</v>
      </c>
      <c r="R245">
        <v>3</v>
      </c>
      <c r="S245">
        <v>763159.92</v>
      </c>
      <c r="T245">
        <v>177104.87</v>
      </c>
    </row>
    <row r="246" spans="1:20">
      <c r="A246" t="s">
        <v>83</v>
      </c>
      <c r="B246" s="2">
        <v>45658</v>
      </c>
      <c r="C246" t="s">
        <v>15</v>
      </c>
      <c r="D246">
        <f t="shared" si="18"/>
        <v>0</v>
      </c>
      <c r="E246">
        <f t="shared" si="19"/>
        <v>0</v>
      </c>
      <c r="F246">
        <f t="shared" si="20"/>
        <v>0</v>
      </c>
      <c r="G246" t="s">
        <v>18</v>
      </c>
      <c r="H246">
        <f t="shared" si="21"/>
        <v>1</v>
      </c>
      <c r="I246">
        <f t="shared" si="22"/>
        <v>0</v>
      </c>
      <c r="J246">
        <f t="shared" si="23"/>
        <v>0</v>
      </c>
      <c r="K246">
        <v>76942.2</v>
      </c>
      <c r="L246">
        <v>8934</v>
      </c>
      <c r="M246">
        <v>8.4000000000000005E-2</v>
      </c>
      <c r="N246">
        <v>20</v>
      </c>
      <c r="O246">
        <v>91</v>
      </c>
      <c r="P246">
        <v>0.95</v>
      </c>
      <c r="Q246">
        <v>0</v>
      </c>
      <c r="R246">
        <v>3.2</v>
      </c>
      <c r="S246">
        <v>802001.68</v>
      </c>
      <c r="T246">
        <v>159715.82</v>
      </c>
    </row>
    <row r="247" spans="1:20">
      <c r="A247" t="s">
        <v>83</v>
      </c>
      <c r="B247" s="2">
        <v>45689</v>
      </c>
      <c r="C247" t="s">
        <v>15</v>
      </c>
      <c r="D247">
        <f t="shared" si="18"/>
        <v>0</v>
      </c>
      <c r="E247">
        <f t="shared" si="19"/>
        <v>0</v>
      </c>
      <c r="F247">
        <f t="shared" si="20"/>
        <v>0</v>
      </c>
      <c r="G247" t="s">
        <v>18</v>
      </c>
      <c r="H247">
        <f t="shared" si="21"/>
        <v>1</v>
      </c>
      <c r="I247">
        <f t="shared" si="22"/>
        <v>0</v>
      </c>
      <c r="J247">
        <f t="shared" si="23"/>
        <v>0</v>
      </c>
      <c r="K247">
        <v>48060.78</v>
      </c>
      <c r="L247">
        <v>8733</v>
      </c>
      <c r="M247">
        <v>0</v>
      </c>
      <c r="N247">
        <v>20</v>
      </c>
      <c r="O247">
        <v>89.9</v>
      </c>
      <c r="P247">
        <v>0.8</v>
      </c>
      <c r="Q247">
        <v>0</v>
      </c>
      <c r="R247">
        <v>3.4</v>
      </c>
      <c r="S247">
        <v>750471.34</v>
      </c>
      <c r="T247">
        <v>133788.04</v>
      </c>
    </row>
    <row r="248" spans="1:20">
      <c r="A248" t="s">
        <v>83</v>
      </c>
      <c r="B248" s="2">
        <v>45717</v>
      </c>
      <c r="C248" t="s">
        <v>15</v>
      </c>
      <c r="D248">
        <f t="shared" si="18"/>
        <v>0</v>
      </c>
      <c r="E248">
        <f t="shared" si="19"/>
        <v>0</v>
      </c>
      <c r="F248">
        <f t="shared" si="20"/>
        <v>0</v>
      </c>
      <c r="G248" t="s">
        <v>18</v>
      </c>
      <c r="H248">
        <f t="shared" si="21"/>
        <v>1</v>
      </c>
      <c r="I248">
        <f t="shared" si="22"/>
        <v>0</v>
      </c>
      <c r="J248">
        <f t="shared" si="23"/>
        <v>0</v>
      </c>
      <c r="K248">
        <v>57390.04</v>
      </c>
      <c r="L248">
        <v>7374</v>
      </c>
      <c r="M248">
        <v>0.21</v>
      </c>
      <c r="N248">
        <v>21</v>
      </c>
      <c r="O248">
        <v>91.8</v>
      </c>
      <c r="P248">
        <v>0.2</v>
      </c>
      <c r="Q248">
        <v>0</v>
      </c>
      <c r="R248">
        <v>3.1</v>
      </c>
      <c r="S248">
        <v>679230.86</v>
      </c>
      <c r="T248">
        <v>106927.58</v>
      </c>
    </row>
    <row r="249" spans="1:20">
      <c r="A249" t="s">
        <v>83</v>
      </c>
      <c r="B249" s="2">
        <v>45748</v>
      </c>
      <c r="C249" t="s">
        <v>15</v>
      </c>
      <c r="D249">
        <f t="shared" si="18"/>
        <v>0</v>
      </c>
      <c r="E249">
        <f t="shared" si="19"/>
        <v>0</v>
      </c>
      <c r="F249">
        <f t="shared" si="20"/>
        <v>0</v>
      </c>
      <c r="G249" t="s">
        <v>18</v>
      </c>
      <c r="H249">
        <f t="shared" si="21"/>
        <v>1</v>
      </c>
      <c r="I249">
        <f t="shared" si="22"/>
        <v>0</v>
      </c>
      <c r="J249">
        <f t="shared" si="23"/>
        <v>0</v>
      </c>
      <c r="K249">
        <v>21536.18</v>
      </c>
      <c r="L249">
        <v>8119</v>
      </c>
      <c r="M249">
        <v>0.22700000000000001</v>
      </c>
      <c r="N249">
        <v>20</v>
      </c>
      <c r="O249">
        <v>90.4</v>
      </c>
      <c r="P249">
        <v>1.7</v>
      </c>
      <c r="Q249">
        <v>0</v>
      </c>
      <c r="R249">
        <v>3.3</v>
      </c>
      <c r="S249">
        <v>679888.74</v>
      </c>
      <c r="T249">
        <v>83406.89</v>
      </c>
    </row>
    <row r="250" spans="1:20">
      <c r="A250" t="s">
        <v>84</v>
      </c>
      <c r="B250" s="2">
        <v>45658</v>
      </c>
      <c r="C250" t="s">
        <v>20</v>
      </c>
      <c r="D250">
        <f t="shared" si="18"/>
        <v>1</v>
      </c>
      <c r="E250">
        <f t="shared" si="19"/>
        <v>0</v>
      </c>
      <c r="F250">
        <f t="shared" si="20"/>
        <v>0</v>
      </c>
      <c r="G250" t="s">
        <v>18</v>
      </c>
      <c r="H250">
        <f t="shared" si="21"/>
        <v>1</v>
      </c>
      <c r="I250">
        <f t="shared" si="22"/>
        <v>0</v>
      </c>
      <c r="J250">
        <f t="shared" si="23"/>
        <v>0</v>
      </c>
      <c r="K250">
        <v>40923.67</v>
      </c>
      <c r="L250">
        <v>3875</v>
      </c>
      <c r="M250">
        <v>0.15</v>
      </c>
      <c r="N250">
        <v>10</v>
      </c>
      <c r="O250">
        <v>96.1</v>
      </c>
      <c r="P250">
        <v>3.3650000000000002</v>
      </c>
      <c r="Q250">
        <v>0</v>
      </c>
      <c r="R250">
        <v>3.8</v>
      </c>
      <c r="S250">
        <v>606783.67000000004</v>
      </c>
      <c r="T250">
        <v>74515.87</v>
      </c>
    </row>
    <row r="251" spans="1:20">
      <c r="A251" t="s">
        <v>84</v>
      </c>
      <c r="B251" s="2">
        <v>45689</v>
      </c>
      <c r="C251" t="s">
        <v>20</v>
      </c>
      <c r="D251">
        <f t="shared" si="18"/>
        <v>1</v>
      </c>
      <c r="E251">
        <f t="shared" si="19"/>
        <v>0</v>
      </c>
      <c r="F251">
        <f t="shared" si="20"/>
        <v>0</v>
      </c>
      <c r="G251" t="s">
        <v>18</v>
      </c>
      <c r="H251">
        <f t="shared" si="21"/>
        <v>1</v>
      </c>
      <c r="I251">
        <f t="shared" si="22"/>
        <v>0</v>
      </c>
      <c r="J251">
        <f t="shared" si="23"/>
        <v>0</v>
      </c>
      <c r="K251">
        <v>72932.55</v>
      </c>
      <c r="L251">
        <v>5765</v>
      </c>
      <c r="M251">
        <v>2.5999999999999999E-2</v>
      </c>
      <c r="N251">
        <v>17</v>
      </c>
      <c r="O251">
        <v>81.8</v>
      </c>
      <c r="P251">
        <v>5.0999999999999996</v>
      </c>
      <c r="Q251">
        <v>0</v>
      </c>
      <c r="R251">
        <v>3.6</v>
      </c>
      <c r="S251">
        <v>642751.42000000004</v>
      </c>
      <c r="T251">
        <v>131942.15</v>
      </c>
    </row>
    <row r="252" spans="1:20">
      <c r="A252" t="s">
        <v>84</v>
      </c>
      <c r="B252" s="2">
        <v>45717</v>
      </c>
      <c r="C252" t="s">
        <v>20</v>
      </c>
      <c r="D252">
        <f t="shared" si="18"/>
        <v>1</v>
      </c>
      <c r="E252">
        <f t="shared" si="19"/>
        <v>0</v>
      </c>
      <c r="F252">
        <f t="shared" si="20"/>
        <v>0</v>
      </c>
      <c r="G252" t="s">
        <v>18</v>
      </c>
      <c r="H252">
        <f t="shared" si="21"/>
        <v>1</v>
      </c>
      <c r="I252">
        <f t="shared" si="22"/>
        <v>0</v>
      </c>
      <c r="J252">
        <f t="shared" si="23"/>
        <v>0</v>
      </c>
      <c r="K252">
        <v>38361.93</v>
      </c>
      <c r="L252">
        <v>6322</v>
      </c>
      <c r="M252">
        <v>0.27300000000000002</v>
      </c>
      <c r="N252">
        <v>15</v>
      </c>
      <c r="O252">
        <v>88.4</v>
      </c>
      <c r="P252">
        <v>0.83</v>
      </c>
      <c r="Q252">
        <v>0</v>
      </c>
      <c r="R252">
        <v>4</v>
      </c>
      <c r="S252">
        <v>647953.78</v>
      </c>
      <c r="T252">
        <v>118497.43</v>
      </c>
    </row>
    <row r="253" spans="1:20">
      <c r="A253" t="s">
        <v>84</v>
      </c>
      <c r="B253" s="2">
        <v>45748</v>
      </c>
      <c r="C253" t="s">
        <v>20</v>
      </c>
      <c r="D253">
        <f t="shared" si="18"/>
        <v>1</v>
      </c>
      <c r="E253">
        <f t="shared" si="19"/>
        <v>0</v>
      </c>
      <c r="F253">
        <f t="shared" si="20"/>
        <v>0</v>
      </c>
      <c r="G253" t="s">
        <v>18</v>
      </c>
      <c r="H253">
        <f t="shared" si="21"/>
        <v>1</v>
      </c>
      <c r="I253">
        <f t="shared" si="22"/>
        <v>0</v>
      </c>
      <c r="J253">
        <f t="shared" si="23"/>
        <v>0</v>
      </c>
      <c r="K253">
        <v>97480.94</v>
      </c>
      <c r="L253">
        <v>6840</v>
      </c>
      <c r="M253">
        <v>8.6999999999999994E-2</v>
      </c>
      <c r="N253">
        <v>14</v>
      </c>
      <c r="O253">
        <v>79.2</v>
      </c>
      <c r="P253">
        <v>1.1399999999999999</v>
      </c>
      <c r="Q253">
        <v>0</v>
      </c>
      <c r="R253">
        <v>4</v>
      </c>
      <c r="S253">
        <v>729440.45</v>
      </c>
      <c r="T253">
        <v>87614.29</v>
      </c>
    </row>
    <row r="254" spans="1:20">
      <c r="A254" t="s">
        <v>85</v>
      </c>
      <c r="B254" s="2">
        <v>45658</v>
      </c>
      <c r="C254" t="s">
        <v>24</v>
      </c>
      <c r="D254">
        <f t="shared" si="18"/>
        <v>0</v>
      </c>
      <c r="E254">
        <f t="shared" si="19"/>
        <v>1</v>
      </c>
      <c r="F254">
        <f t="shared" si="20"/>
        <v>0</v>
      </c>
      <c r="G254" t="s">
        <v>21</v>
      </c>
      <c r="H254">
        <f t="shared" si="21"/>
        <v>0</v>
      </c>
      <c r="I254">
        <f t="shared" si="22"/>
        <v>0</v>
      </c>
      <c r="J254">
        <f t="shared" si="23"/>
        <v>1</v>
      </c>
      <c r="K254">
        <v>81801.8</v>
      </c>
      <c r="L254">
        <v>6782</v>
      </c>
      <c r="M254">
        <v>0.05</v>
      </c>
      <c r="N254">
        <v>16</v>
      </c>
      <c r="O254">
        <v>99</v>
      </c>
      <c r="P254">
        <v>9.5399999999999991</v>
      </c>
      <c r="Q254">
        <v>0</v>
      </c>
      <c r="R254">
        <v>3.7</v>
      </c>
      <c r="S254">
        <v>764949</v>
      </c>
      <c r="T254">
        <v>148322.43</v>
      </c>
    </row>
    <row r="255" spans="1:20">
      <c r="A255" t="s">
        <v>85</v>
      </c>
      <c r="B255" s="2">
        <v>45689</v>
      </c>
      <c r="C255" t="s">
        <v>24</v>
      </c>
      <c r="D255">
        <f t="shared" si="18"/>
        <v>0</v>
      </c>
      <c r="E255">
        <f t="shared" si="19"/>
        <v>1</v>
      </c>
      <c r="F255">
        <f t="shared" si="20"/>
        <v>0</v>
      </c>
      <c r="G255" t="s">
        <v>21</v>
      </c>
      <c r="H255">
        <f t="shared" si="21"/>
        <v>0</v>
      </c>
      <c r="I255">
        <f t="shared" si="22"/>
        <v>0</v>
      </c>
      <c r="J255">
        <f t="shared" si="23"/>
        <v>1</v>
      </c>
      <c r="K255">
        <v>63582.11</v>
      </c>
      <c r="L255">
        <v>6856</v>
      </c>
      <c r="M255">
        <v>7.3999999999999996E-2</v>
      </c>
      <c r="N255">
        <v>17</v>
      </c>
      <c r="O255">
        <v>89.5</v>
      </c>
      <c r="P255">
        <v>5.48</v>
      </c>
      <c r="Q255">
        <v>0</v>
      </c>
      <c r="R255">
        <v>3.2</v>
      </c>
      <c r="S255">
        <v>799046.94</v>
      </c>
      <c r="T255">
        <v>144553.64000000001</v>
      </c>
    </row>
    <row r="256" spans="1:20">
      <c r="A256" t="s">
        <v>85</v>
      </c>
      <c r="B256" s="2">
        <v>45717</v>
      </c>
      <c r="C256" t="s">
        <v>24</v>
      </c>
      <c r="D256">
        <f t="shared" si="18"/>
        <v>0</v>
      </c>
      <c r="E256">
        <f t="shared" si="19"/>
        <v>1</v>
      </c>
      <c r="F256">
        <f t="shared" si="20"/>
        <v>0</v>
      </c>
      <c r="G256" t="s">
        <v>21</v>
      </c>
      <c r="H256">
        <f t="shared" si="21"/>
        <v>0</v>
      </c>
      <c r="I256">
        <f t="shared" si="22"/>
        <v>0</v>
      </c>
      <c r="J256">
        <f t="shared" si="23"/>
        <v>1</v>
      </c>
      <c r="K256">
        <v>75412.740000000005</v>
      </c>
      <c r="L256">
        <v>5641</v>
      </c>
      <c r="M256">
        <v>5.8999999999999997E-2</v>
      </c>
      <c r="N256">
        <v>13</v>
      </c>
      <c r="O256">
        <v>87.9</v>
      </c>
      <c r="P256">
        <v>0.84</v>
      </c>
      <c r="Q256">
        <v>0</v>
      </c>
      <c r="R256">
        <v>3.6</v>
      </c>
      <c r="S256">
        <v>720079.54</v>
      </c>
      <c r="T256">
        <v>119499.47</v>
      </c>
    </row>
    <row r="257" spans="1:20">
      <c r="A257" t="s">
        <v>85</v>
      </c>
      <c r="B257" s="2">
        <v>45748</v>
      </c>
      <c r="C257" t="s">
        <v>24</v>
      </c>
      <c r="D257">
        <f t="shared" si="18"/>
        <v>0</v>
      </c>
      <c r="E257">
        <f t="shared" si="19"/>
        <v>1</v>
      </c>
      <c r="F257">
        <f t="shared" si="20"/>
        <v>0</v>
      </c>
      <c r="G257" t="s">
        <v>21</v>
      </c>
      <c r="H257">
        <f t="shared" si="21"/>
        <v>0</v>
      </c>
      <c r="I257">
        <f t="shared" si="22"/>
        <v>0</v>
      </c>
      <c r="J257">
        <f t="shared" si="23"/>
        <v>1</v>
      </c>
      <c r="K257">
        <v>36290.080000000002</v>
      </c>
      <c r="L257">
        <v>5787</v>
      </c>
      <c r="M257">
        <v>0</v>
      </c>
      <c r="N257">
        <v>17</v>
      </c>
      <c r="O257">
        <v>88.3</v>
      </c>
      <c r="P257">
        <v>4.1900000000000004</v>
      </c>
      <c r="Q257">
        <v>0</v>
      </c>
      <c r="R257">
        <v>4.0999999999999996</v>
      </c>
      <c r="S257">
        <v>612390.14</v>
      </c>
      <c r="T257">
        <v>108985.74</v>
      </c>
    </row>
    <row r="258" spans="1:20">
      <c r="A258" t="s">
        <v>86</v>
      </c>
      <c r="B258" s="2">
        <v>45658</v>
      </c>
      <c r="C258" t="s">
        <v>24</v>
      </c>
      <c r="D258">
        <f t="shared" si="18"/>
        <v>0</v>
      </c>
      <c r="E258">
        <f t="shared" si="19"/>
        <v>1</v>
      </c>
      <c r="F258">
        <f t="shared" si="20"/>
        <v>0</v>
      </c>
      <c r="G258" t="s">
        <v>28</v>
      </c>
      <c r="H258">
        <f t="shared" si="21"/>
        <v>0</v>
      </c>
      <c r="I258">
        <f t="shared" si="22"/>
        <v>0</v>
      </c>
      <c r="J258">
        <f t="shared" si="23"/>
        <v>0</v>
      </c>
      <c r="K258">
        <v>65272.58</v>
      </c>
      <c r="L258">
        <v>8165</v>
      </c>
      <c r="M258">
        <v>5.0999999999999997E-2</v>
      </c>
      <c r="N258">
        <v>19</v>
      </c>
      <c r="O258">
        <v>87.8</v>
      </c>
      <c r="P258">
        <v>1.26</v>
      </c>
      <c r="Q258">
        <v>1</v>
      </c>
      <c r="R258">
        <v>4.3</v>
      </c>
      <c r="S258">
        <v>840108.12</v>
      </c>
      <c r="T258">
        <v>126587.01</v>
      </c>
    </row>
    <row r="259" spans="1:20">
      <c r="A259" t="s">
        <v>86</v>
      </c>
      <c r="B259" s="2">
        <v>45689</v>
      </c>
      <c r="C259" t="s">
        <v>24</v>
      </c>
      <c r="D259">
        <f t="shared" ref="D259:D321" si="24">IF(C259="North",1,0)</f>
        <v>0</v>
      </c>
      <c r="E259">
        <f t="shared" ref="E259:E321" si="25">IF(C259="South",1,0)</f>
        <v>1</v>
      </c>
      <c r="F259">
        <f t="shared" ref="F259:F321" si="26">IF(C259="West",1,0)</f>
        <v>0</v>
      </c>
      <c r="G259" t="s">
        <v>28</v>
      </c>
      <c r="H259">
        <f t="shared" ref="H259:H321" si="27">IF(G259="High Street",1,0)</f>
        <v>0</v>
      </c>
      <c r="I259">
        <f t="shared" ref="I259:I321" si="28">IF(G259="Residential",1,0)</f>
        <v>0</v>
      </c>
      <c r="J259">
        <f t="shared" ref="J259:J321" si="29">IF(G259="Airport",1,0)</f>
        <v>0</v>
      </c>
      <c r="K259">
        <v>28670.43</v>
      </c>
      <c r="L259">
        <v>7574</v>
      </c>
      <c r="M259">
        <v>0.114</v>
      </c>
      <c r="N259">
        <v>19</v>
      </c>
      <c r="O259">
        <v>82.7</v>
      </c>
      <c r="P259">
        <v>2.74</v>
      </c>
      <c r="Q259">
        <v>0</v>
      </c>
      <c r="R259">
        <v>4.5999999999999996</v>
      </c>
      <c r="S259">
        <v>697888.09</v>
      </c>
      <c r="T259">
        <v>116249.87</v>
      </c>
    </row>
    <row r="260" spans="1:20">
      <c r="A260" t="s">
        <v>86</v>
      </c>
      <c r="B260" s="2">
        <v>45717</v>
      </c>
      <c r="C260" t="s">
        <v>24</v>
      </c>
      <c r="D260">
        <f t="shared" si="24"/>
        <v>0</v>
      </c>
      <c r="E260">
        <f t="shared" si="25"/>
        <v>1</v>
      </c>
      <c r="F260">
        <f t="shared" si="26"/>
        <v>0</v>
      </c>
      <c r="G260" t="s">
        <v>28</v>
      </c>
      <c r="H260">
        <f t="shared" si="27"/>
        <v>0</v>
      </c>
      <c r="I260">
        <f t="shared" si="28"/>
        <v>0</v>
      </c>
      <c r="J260">
        <f t="shared" si="29"/>
        <v>0</v>
      </c>
      <c r="K260">
        <v>44189.34</v>
      </c>
      <c r="L260">
        <v>8634</v>
      </c>
      <c r="M260">
        <v>0.14299999999999999</v>
      </c>
      <c r="N260">
        <v>19</v>
      </c>
      <c r="O260">
        <v>87.5</v>
      </c>
      <c r="P260">
        <v>3.69</v>
      </c>
      <c r="Q260">
        <v>0</v>
      </c>
      <c r="R260">
        <v>4.4000000000000004</v>
      </c>
      <c r="S260">
        <v>746115.59</v>
      </c>
      <c r="T260">
        <v>94662.96</v>
      </c>
    </row>
    <row r="261" spans="1:20">
      <c r="A261" t="s">
        <v>86</v>
      </c>
      <c r="B261" s="2">
        <v>45748</v>
      </c>
      <c r="C261" t="s">
        <v>24</v>
      </c>
      <c r="D261">
        <f t="shared" si="24"/>
        <v>0</v>
      </c>
      <c r="E261">
        <f t="shared" si="25"/>
        <v>1</v>
      </c>
      <c r="F261">
        <f t="shared" si="26"/>
        <v>0</v>
      </c>
      <c r="G261" t="s">
        <v>28</v>
      </c>
      <c r="H261">
        <f t="shared" si="27"/>
        <v>0</v>
      </c>
      <c r="I261">
        <f t="shared" si="28"/>
        <v>0</v>
      </c>
      <c r="J261">
        <f t="shared" si="29"/>
        <v>0</v>
      </c>
      <c r="K261">
        <v>38397.82</v>
      </c>
      <c r="L261">
        <v>7836</v>
      </c>
      <c r="M261">
        <v>7.0000000000000001E-3</v>
      </c>
      <c r="N261">
        <v>21</v>
      </c>
      <c r="O261">
        <v>92.2</v>
      </c>
      <c r="P261">
        <v>1.82</v>
      </c>
      <c r="Q261">
        <v>0</v>
      </c>
      <c r="R261">
        <v>3.6</v>
      </c>
      <c r="S261">
        <v>776110.32</v>
      </c>
      <c r="T261">
        <v>139676.21</v>
      </c>
    </row>
    <row r="262" spans="1:20">
      <c r="A262" t="s">
        <v>87</v>
      </c>
      <c r="B262" s="2">
        <v>45658</v>
      </c>
      <c r="C262" t="s">
        <v>27</v>
      </c>
      <c r="D262">
        <f t="shared" si="24"/>
        <v>0</v>
      </c>
      <c r="E262">
        <f t="shared" si="25"/>
        <v>0</v>
      </c>
      <c r="F262">
        <f t="shared" si="26"/>
        <v>1</v>
      </c>
      <c r="G262" t="s">
        <v>18</v>
      </c>
      <c r="H262">
        <f t="shared" si="27"/>
        <v>1</v>
      </c>
      <c r="I262">
        <f t="shared" si="28"/>
        <v>0</v>
      </c>
      <c r="J262">
        <f t="shared" si="29"/>
        <v>0</v>
      </c>
      <c r="K262">
        <v>14519.37</v>
      </c>
      <c r="L262">
        <v>3047</v>
      </c>
      <c r="M262">
        <v>0.13500000000000001</v>
      </c>
      <c r="N262">
        <v>10</v>
      </c>
      <c r="O262">
        <v>90.3</v>
      </c>
      <c r="P262">
        <v>6.62</v>
      </c>
      <c r="Q262">
        <v>0</v>
      </c>
      <c r="R262">
        <v>4.2</v>
      </c>
      <c r="S262">
        <v>528852.62</v>
      </c>
      <c r="T262">
        <v>68426.210000000006</v>
      </c>
    </row>
    <row r="263" spans="1:20">
      <c r="A263" t="s">
        <v>87</v>
      </c>
      <c r="B263" s="2">
        <v>45689</v>
      </c>
      <c r="C263" t="s">
        <v>27</v>
      </c>
      <c r="D263">
        <f t="shared" si="24"/>
        <v>0</v>
      </c>
      <c r="E263">
        <f t="shared" si="25"/>
        <v>0</v>
      </c>
      <c r="F263">
        <f t="shared" si="26"/>
        <v>1</v>
      </c>
      <c r="G263" t="s">
        <v>18</v>
      </c>
      <c r="H263">
        <f t="shared" si="27"/>
        <v>1</v>
      </c>
      <c r="I263">
        <f t="shared" si="28"/>
        <v>0</v>
      </c>
      <c r="J263">
        <f t="shared" si="29"/>
        <v>0</v>
      </c>
      <c r="K263">
        <v>43288.2</v>
      </c>
      <c r="L263">
        <v>4783</v>
      </c>
      <c r="M263">
        <v>0.16900000000000001</v>
      </c>
      <c r="N263">
        <v>13</v>
      </c>
      <c r="O263">
        <v>87.3</v>
      </c>
      <c r="P263">
        <v>3.3650000000000002</v>
      </c>
      <c r="Q263">
        <v>0</v>
      </c>
      <c r="R263">
        <v>4.2</v>
      </c>
      <c r="S263">
        <v>605751.32999999996</v>
      </c>
      <c r="T263">
        <v>60685.53</v>
      </c>
    </row>
    <row r="264" spans="1:20">
      <c r="A264" t="s">
        <v>87</v>
      </c>
      <c r="B264" s="2">
        <v>45717</v>
      </c>
      <c r="C264" t="s">
        <v>27</v>
      </c>
      <c r="D264">
        <f t="shared" si="24"/>
        <v>0</v>
      </c>
      <c r="E264">
        <f t="shared" si="25"/>
        <v>0</v>
      </c>
      <c r="F264">
        <f t="shared" si="26"/>
        <v>1</v>
      </c>
      <c r="G264" t="s">
        <v>18</v>
      </c>
      <c r="H264">
        <f t="shared" si="27"/>
        <v>1</v>
      </c>
      <c r="I264">
        <f t="shared" si="28"/>
        <v>0</v>
      </c>
      <c r="J264">
        <f t="shared" si="29"/>
        <v>0</v>
      </c>
      <c r="K264">
        <v>51450.55</v>
      </c>
      <c r="L264">
        <v>4902</v>
      </c>
      <c r="M264">
        <v>8.5999999999999993E-2</v>
      </c>
      <c r="N264">
        <v>11</v>
      </c>
      <c r="O264">
        <v>83.7</v>
      </c>
      <c r="P264">
        <v>6.92</v>
      </c>
      <c r="Q264">
        <v>1</v>
      </c>
      <c r="R264">
        <v>4.2</v>
      </c>
      <c r="S264">
        <v>677640.65</v>
      </c>
      <c r="T264">
        <v>111610.89</v>
      </c>
    </row>
    <row r="265" spans="1:20">
      <c r="A265" t="s">
        <v>87</v>
      </c>
      <c r="B265" s="2">
        <v>45748</v>
      </c>
      <c r="C265" t="s">
        <v>27</v>
      </c>
      <c r="D265">
        <f t="shared" si="24"/>
        <v>0</v>
      </c>
      <c r="E265">
        <f t="shared" si="25"/>
        <v>0</v>
      </c>
      <c r="F265">
        <f t="shared" si="26"/>
        <v>1</v>
      </c>
      <c r="G265" t="s">
        <v>18</v>
      </c>
      <c r="H265">
        <f t="shared" si="27"/>
        <v>1</v>
      </c>
      <c r="I265">
        <f t="shared" si="28"/>
        <v>0</v>
      </c>
      <c r="J265">
        <f t="shared" si="29"/>
        <v>0</v>
      </c>
      <c r="K265">
        <v>58688.26</v>
      </c>
      <c r="L265">
        <v>4022</v>
      </c>
      <c r="M265">
        <v>0.217</v>
      </c>
      <c r="N265">
        <v>12</v>
      </c>
      <c r="O265">
        <v>93.8</v>
      </c>
      <c r="P265">
        <v>11.78</v>
      </c>
      <c r="Q265">
        <v>0</v>
      </c>
      <c r="R265">
        <v>3.7</v>
      </c>
      <c r="S265">
        <v>636613.23</v>
      </c>
      <c r="T265">
        <v>78908.350000000006</v>
      </c>
    </row>
    <row r="266" spans="1:20">
      <c r="A266" t="s">
        <v>88</v>
      </c>
      <c r="B266" s="2">
        <v>45658</v>
      </c>
      <c r="C266" t="s">
        <v>15</v>
      </c>
      <c r="D266">
        <f t="shared" si="24"/>
        <v>0</v>
      </c>
      <c r="E266">
        <f t="shared" si="25"/>
        <v>0</v>
      </c>
      <c r="F266">
        <f t="shared" si="26"/>
        <v>0</v>
      </c>
      <c r="G266" t="s">
        <v>18</v>
      </c>
      <c r="H266">
        <f t="shared" si="27"/>
        <v>1</v>
      </c>
      <c r="I266">
        <f t="shared" si="28"/>
        <v>0</v>
      </c>
      <c r="J266">
        <f t="shared" si="29"/>
        <v>0</v>
      </c>
      <c r="K266">
        <v>58981.91</v>
      </c>
      <c r="L266">
        <v>7324</v>
      </c>
      <c r="M266">
        <v>9.4E-2</v>
      </c>
      <c r="N266">
        <v>15</v>
      </c>
      <c r="O266">
        <v>95.8</v>
      </c>
      <c r="P266">
        <v>0.5</v>
      </c>
      <c r="Q266">
        <v>0</v>
      </c>
      <c r="R266">
        <v>3.5</v>
      </c>
      <c r="S266">
        <v>708985.19</v>
      </c>
      <c r="T266">
        <v>125368.16</v>
      </c>
    </row>
    <row r="267" spans="1:20">
      <c r="A267" t="s">
        <v>88</v>
      </c>
      <c r="B267" s="2">
        <v>45689</v>
      </c>
      <c r="C267" t="s">
        <v>15</v>
      </c>
      <c r="D267">
        <f t="shared" si="24"/>
        <v>0</v>
      </c>
      <c r="E267">
        <f t="shared" si="25"/>
        <v>0</v>
      </c>
      <c r="F267">
        <f t="shared" si="26"/>
        <v>0</v>
      </c>
      <c r="G267" t="s">
        <v>18</v>
      </c>
      <c r="H267">
        <f t="shared" si="27"/>
        <v>1</v>
      </c>
      <c r="I267">
        <f t="shared" si="28"/>
        <v>0</v>
      </c>
      <c r="J267">
        <f t="shared" si="29"/>
        <v>0</v>
      </c>
      <c r="K267">
        <v>73454.539999999994</v>
      </c>
      <c r="L267">
        <v>8129</v>
      </c>
      <c r="M267">
        <v>0.21099999999999999</v>
      </c>
      <c r="N267">
        <v>20</v>
      </c>
      <c r="O267">
        <v>85.2</v>
      </c>
      <c r="P267">
        <v>0.88</v>
      </c>
      <c r="Q267">
        <v>0</v>
      </c>
      <c r="R267">
        <v>3.7</v>
      </c>
      <c r="S267">
        <v>767792.94</v>
      </c>
      <c r="T267">
        <v>96235.77</v>
      </c>
    </row>
    <row r="268" spans="1:20">
      <c r="A268" t="s">
        <v>88</v>
      </c>
      <c r="B268" s="2">
        <v>45717</v>
      </c>
      <c r="C268" t="s">
        <v>15</v>
      </c>
      <c r="D268">
        <f t="shared" si="24"/>
        <v>0</v>
      </c>
      <c r="E268">
        <f t="shared" si="25"/>
        <v>0</v>
      </c>
      <c r="F268">
        <f t="shared" si="26"/>
        <v>0</v>
      </c>
      <c r="G268" t="s">
        <v>18</v>
      </c>
      <c r="H268">
        <f t="shared" si="27"/>
        <v>1</v>
      </c>
      <c r="I268">
        <f t="shared" si="28"/>
        <v>0</v>
      </c>
      <c r="J268">
        <f t="shared" si="29"/>
        <v>0</v>
      </c>
      <c r="K268">
        <v>56602.39</v>
      </c>
      <c r="L268">
        <v>7969</v>
      </c>
      <c r="M268">
        <v>0.17</v>
      </c>
      <c r="N268">
        <v>21</v>
      </c>
      <c r="O268">
        <v>88.3</v>
      </c>
      <c r="P268">
        <v>2.25</v>
      </c>
      <c r="Q268">
        <v>0</v>
      </c>
      <c r="R268">
        <v>3.7</v>
      </c>
      <c r="S268">
        <v>745580.51</v>
      </c>
      <c r="T268">
        <v>116273.68</v>
      </c>
    </row>
    <row r="269" spans="1:20">
      <c r="A269" t="s">
        <v>88</v>
      </c>
      <c r="B269" s="2">
        <v>45748</v>
      </c>
      <c r="C269" t="s">
        <v>15</v>
      </c>
      <c r="D269">
        <f t="shared" si="24"/>
        <v>0</v>
      </c>
      <c r="E269">
        <f t="shared" si="25"/>
        <v>0</v>
      </c>
      <c r="F269">
        <f t="shared" si="26"/>
        <v>0</v>
      </c>
      <c r="G269" t="s">
        <v>18</v>
      </c>
      <c r="H269">
        <f t="shared" si="27"/>
        <v>1</v>
      </c>
      <c r="I269">
        <f t="shared" si="28"/>
        <v>0</v>
      </c>
      <c r="J269">
        <f t="shared" si="29"/>
        <v>0</v>
      </c>
      <c r="K269">
        <v>67722.289999999994</v>
      </c>
      <c r="L269">
        <v>7240</v>
      </c>
      <c r="M269">
        <v>2.5999999999999999E-2</v>
      </c>
      <c r="N269">
        <v>15</v>
      </c>
      <c r="O269">
        <v>92.9</v>
      </c>
      <c r="P269">
        <v>0.28999999999999998</v>
      </c>
      <c r="Q269">
        <v>0</v>
      </c>
      <c r="R269">
        <v>3.5</v>
      </c>
      <c r="S269">
        <v>762328.31</v>
      </c>
      <c r="T269">
        <v>159158.19</v>
      </c>
    </row>
    <row r="270" spans="1:20">
      <c r="A270" t="s">
        <v>89</v>
      </c>
      <c r="B270" s="2">
        <v>45658</v>
      </c>
      <c r="C270" t="s">
        <v>15</v>
      </c>
      <c r="D270">
        <f t="shared" si="24"/>
        <v>0</v>
      </c>
      <c r="E270">
        <f t="shared" si="25"/>
        <v>0</v>
      </c>
      <c r="F270">
        <f t="shared" si="26"/>
        <v>0</v>
      </c>
      <c r="G270" t="s">
        <v>28</v>
      </c>
      <c r="H270">
        <f t="shared" si="27"/>
        <v>0</v>
      </c>
      <c r="I270">
        <f t="shared" si="28"/>
        <v>0</v>
      </c>
      <c r="J270">
        <f t="shared" si="29"/>
        <v>0</v>
      </c>
      <c r="K270">
        <v>48752.92</v>
      </c>
      <c r="L270">
        <v>8052</v>
      </c>
      <c r="M270">
        <v>0.106</v>
      </c>
      <c r="N270">
        <v>16</v>
      </c>
      <c r="O270">
        <v>94.9</v>
      </c>
      <c r="P270">
        <v>0.65</v>
      </c>
      <c r="Q270">
        <v>0</v>
      </c>
      <c r="R270">
        <v>3.6</v>
      </c>
      <c r="S270">
        <v>660633.99</v>
      </c>
      <c r="T270">
        <v>118768.66</v>
      </c>
    </row>
    <row r="271" spans="1:20">
      <c r="A271" t="s">
        <v>89</v>
      </c>
      <c r="B271" s="2">
        <v>45689</v>
      </c>
      <c r="C271" t="s">
        <v>15</v>
      </c>
      <c r="D271">
        <f t="shared" si="24"/>
        <v>0</v>
      </c>
      <c r="E271">
        <f t="shared" si="25"/>
        <v>0</v>
      </c>
      <c r="F271">
        <f t="shared" si="26"/>
        <v>0</v>
      </c>
      <c r="G271" t="s">
        <v>28</v>
      </c>
      <c r="H271">
        <f t="shared" si="27"/>
        <v>0</v>
      </c>
      <c r="I271">
        <f t="shared" si="28"/>
        <v>0</v>
      </c>
      <c r="J271">
        <f t="shared" si="29"/>
        <v>0</v>
      </c>
      <c r="K271">
        <v>23914.97</v>
      </c>
      <c r="L271">
        <v>8018</v>
      </c>
      <c r="M271">
        <v>0.13900000000000001</v>
      </c>
      <c r="N271">
        <v>20</v>
      </c>
      <c r="O271">
        <v>89</v>
      </c>
      <c r="P271">
        <v>0.2</v>
      </c>
      <c r="Q271">
        <v>0</v>
      </c>
      <c r="R271">
        <v>3.5</v>
      </c>
      <c r="S271">
        <v>739374.56</v>
      </c>
      <c r="T271">
        <v>121032.29</v>
      </c>
    </row>
    <row r="272" spans="1:20">
      <c r="A272" t="s">
        <v>89</v>
      </c>
      <c r="B272" s="2">
        <v>45717</v>
      </c>
      <c r="C272" t="s">
        <v>15</v>
      </c>
      <c r="D272">
        <f t="shared" si="24"/>
        <v>0</v>
      </c>
      <c r="E272">
        <f t="shared" si="25"/>
        <v>0</v>
      </c>
      <c r="F272">
        <f t="shared" si="26"/>
        <v>0</v>
      </c>
      <c r="G272" t="s">
        <v>28</v>
      </c>
      <c r="H272">
        <f t="shared" si="27"/>
        <v>0</v>
      </c>
      <c r="I272">
        <f t="shared" si="28"/>
        <v>0</v>
      </c>
      <c r="J272">
        <f t="shared" si="29"/>
        <v>0</v>
      </c>
      <c r="K272">
        <v>61995.3</v>
      </c>
      <c r="L272">
        <v>10192</v>
      </c>
      <c r="M272">
        <v>0.19800000000000001</v>
      </c>
      <c r="N272">
        <v>21</v>
      </c>
      <c r="O272">
        <v>87.6</v>
      </c>
      <c r="P272">
        <v>3.63</v>
      </c>
      <c r="Q272">
        <v>1</v>
      </c>
      <c r="R272">
        <v>3.8</v>
      </c>
      <c r="S272">
        <v>799756.46</v>
      </c>
      <c r="T272">
        <v>105052.93</v>
      </c>
    </row>
    <row r="273" spans="1:20">
      <c r="A273" t="s">
        <v>89</v>
      </c>
      <c r="B273" s="2">
        <v>45748</v>
      </c>
      <c r="C273" t="s">
        <v>15</v>
      </c>
      <c r="D273">
        <f t="shared" si="24"/>
        <v>0</v>
      </c>
      <c r="E273">
        <f t="shared" si="25"/>
        <v>0</v>
      </c>
      <c r="F273">
        <f t="shared" si="26"/>
        <v>0</v>
      </c>
      <c r="G273" t="s">
        <v>28</v>
      </c>
      <c r="H273">
        <f t="shared" si="27"/>
        <v>0</v>
      </c>
      <c r="I273">
        <f t="shared" si="28"/>
        <v>0</v>
      </c>
      <c r="J273">
        <f t="shared" si="29"/>
        <v>0</v>
      </c>
      <c r="K273">
        <v>29344.93</v>
      </c>
      <c r="L273">
        <v>7446</v>
      </c>
      <c r="M273">
        <v>0.111</v>
      </c>
      <c r="N273">
        <v>15</v>
      </c>
      <c r="O273">
        <v>86.2</v>
      </c>
      <c r="P273">
        <v>0.2</v>
      </c>
      <c r="Q273">
        <v>0</v>
      </c>
      <c r="R273">
        <v>3.2</v>
      </c>
      <c r="S273">
        <v>593343</v>
      </c>
      <c r="T273">
        <v>82832.240000000005</v>
      </c>
    </row>
    <row r="274" spans="1:20">
      <c r="A274" t="s">
        <v>90</v>
      </c>
      <c r="B274" s="2">
        <v>45658</v>
      </c>
      <c r="C274" t="s">
        <v>27</v>
      </c>
      <c r="D274">
        <f t="shared" si="24"/>
        <v>0</v>
      </c>
      <c r="E274">
        <f t="shared" si="25"/>
        <v>0</v>
      </c>
      <c r="F274">
        <f t="shared" si="26"/>
        <v>1</v>
      </c>
      <c r="G274" t="s">
        <v>18</v>
      </c>
      <c r="H274">
        <f t="shared" si="27"/>
        <v>1</v>
      </c>
      <c r="I274">
        <f t="shared" si="28"/>
        <v>0</v>
      </c>
      <c r="J274">
        <f t="shared" si="29"/>
        <v>0</v>
      </c>
      <c r="K274">
        <v>50532.17</v>
      </c>
      <c r="L274">
        <v>5689</v>
      </c>
      <c r="M274">
        <v>5.1999999999999998E-2</v>
      </c>
      <c r="N274">
        <v>17</v>
      </c>
      <c r="O274">
        <v>85.6</v>
      </c>
      <c r="P274">
        <v>6.23</v>
      </c>
      <c r="Q274">
        <v>0</v>
      </c>
      <c r="R274">
        <v>3.3</v>
      </c>
      <c r="S274">
        <v>645039.97</v>
      </c>
      <c r="T274">
        <v>83093.33</v>
      </c>
    </row>
    <row r="275" spans="1:20">
      <c r="A275" t="s">
        <v>90</v>
      </c>
      <c r="B275" s="2">
        <v>45689</v>
      </c>
      <c r="C275" t="s">
        <v>27</v>
      </c>
      <c r="D275">
        <f t="shared" si="24"/>
        <v>0</v>
      </c>
      <c r="E275">
        <f t="shared" si="25"/>
        <v>0</v>
      </c>
      <c r="F275">
        <f t="shared" si="26"/>
        <v>1</v>
      </c>
      <c r="G275" t="s">
        <v>18</v>
      </c>
      <c r="H275">
        <f t="shared" si="27"/>
        <v>1</v>
      </c>
      <c r="I275">
        <f t="shared" si="28"/>
        <v>0</v>
      </c>
      <c r="J275">
        <f t="shared" si="29"/>
        <v>0</v>
      </c>
      <c r="K275">
        <v>17562.57</v>
      </c>
      <c r="L275">
        <v>3326</v>
      </c>
      <c r="M275">
        <v>0.153</v>
      </c>
      <c r="N275">
        <v>14</v>
      </c>
      <c r="O275">
        <v>88.1</v>
      </c>
      <c r="P275">
        <v>1.04</v>
      </c>
      <c r="Q275">
        <v>0</v>
      </c>
      <c r="R275">
        <v>3.1</v>
      </c>
      <c r="S275">
        <v>561597.32999999996</v>
      </c>
      <c r="T275">
        <v>75072.75</v>
      </c>
    </row>
    <row r="276" spans="1:20">
      <c r="A276" t="s">
        <v>90</v>
      </c>
      <c r="B276" s="2">
        <v>45717</v>
      </c>
      <c r="C276" t="s">
        <v>27</v>
      </c>
      <c r="D276">
        <f t="shared" si="24"/>
        <v>0</v>
      </c>
      <c r="E276">
        <f t="shared" si="25"/>
        <v>0</v>
      </c>
      <c r="F276">
        <f t="shared" si="26"/>
        <v>1</v>
      </c>
      <c r="G276" t="s">
        <v>18</v>
      </c>
      <c r="H276">
        <f t="shared" si="27"/>
        <v>1</v>
      </c>
      <c r="I276">
        <f t="shared" si="28"/>
        <v>0</v>
      </c>
      <c r="J276">
        <f t="shared" si="29"/>
        <v>0</v>
      </c>
      <c r="K276">
        <v>47648.71</v>
      </c>
      <c r="L276">
        <v>5767</v>
      </c>
      <c r="M276">
        <v>0.14099999999999999</v>
      </c>
      <c r="N276">
        <v>17</v>
      </c>
      <c r="O276">
        <v>89.8</v>
      </c>
      <c r="P276">
        <v>1.76</v>
      </c>
      <c r="Q276">
        <v>0</v>
      </c>
      <c r="R276">
        <v>3.1</v>
      </c>
      <c r="S276">
        <v>635837.74</v>
      </c>
      <c r="T276">
        <v>114740.64</v>
      </c>
    </row>
    <row r="277" spans="1:20">
      <c r="A277" t="s">
        <v>90</v>
      </c>
      <c r="B277" s="2">
        <v>45748</v>
      </c>
      <c r="C277" t="s">
        <v>27</v>
      </c>
      <c r="D277">
        <f t="shared" si="24"/>
        <v>0</v>
      </c>
      <c r="E277">
        <f t="shared" si="25"/>
        <v>0</v>
      </c>
      <c r="F277">
        <f t="shared" si="26"/>
        <v>1</v>
      </c>
      <c r="G277" t="s">
        <v>18</v>
      </c>
      <c r="H277">
        <f t="shared" si="27"/>
        <v>1</v>
      </c>
      <c r="I277">
        <f t="shared" si="28"/>
        <v>0</v>
      </c>
      <c r="J277">
        <f t="shared" si="29"/>
        <v>0</v>
      </c>
      <c r="K277">
        <v>38297.58</v>
      </c>
      <c r="L277">
        <v>5893</v>
      </c>
      <c r="M277">
        <v>0.247</v>
      </c>
      <c r="N277">
        <v>18</v>
      </c>
      <c r="O277">
        <v>77.599999999999994</v>
      </c>
      <c r="P277">
        <v>2.86</v>
      </c>
      <c r="Q277">
        <v>0</v>
      </c>
      <c r="R277">
        <v>3</v>
      </c>
      <c r="S277">
        <v>686737.87</v>
      </c>
      <c r="T277">
        <v>83839.67</v>
      </c>
    </row>
    <row r="278" spans="1:20">
      <c r="A278" t="s">
        <v>91</v>
      </c>
      <c r="B278" s="2">
        <v>45658</v>
      </c>
      <c r="C278" t="s">
        <v>24</v>
      </c>
      <c r="D278">
        <f t="shared" si="24"/>
        <v>0</v>
      </c>
      <c r="E278">
        <f t="shared" si="25"/>
        <v>1</v>
      </c>
      <c r="F278">
        <f t="shared" si="26"/>
        <v>0</v>
      </c>
      <c r="G278" t="s">
        <v>16</v>
      </c>
      <c r="H278">
        <f t="shared" si="27"/>
        <v>0</v>
      </c>
      <c r="I278">
        <f t="shared" si="28"/>
        <v>1</v>
      </c>
      <c r="J278">
        <f t="shared" si="29"/>
        <v>0</v>
      </c>
      <c r="K278">
        <v>61784.11</v>
      </c>
      <c r="L278">
        <v>8564</v>
      </c>
      <c r="M278">
        <v>0.13</v>
      </c>
      <c r="N278">
        <v>17</v>
      </c>
      <c r="O278">
        <v>87.4</v>
      </c>
      <c r="P278">
        <v>18.14</v>
      </c>
      <c r="Q278">
        <v>1</v>
      </c>
      <c r="R278">
        <v>3.4</v>
      </c>
      <c r="S278">
        <v>673076.34</v>
      </c>
      <c r="T278">
        <v>93899.76</v>
      </c>
    </row>
    <row r="279" spans="1:20">
      <c r="A279" t="s">
        <v>91</v>
      </c>
      <c r="B279" s="2">
        <v>45689</v>
      </c>
      <c r="C279" t="s">
        <v>24</v>
      </c>
      <c r="D279">
        <f t="shared" si="24"/>
        <v>0</v>
      </c>
      <c r="E279">
        <f t="shared" si="25"/>
        <v>1</v>
      </c>
      <c r="F279">
        <f t="shared" si="26"/>
        <v>0</v>
      </c>
      <c r="G279" t="s">
        <v>16</v>
      </c>
      <c r="H279">
        <f t="shared" si="27"/>
        <v>0</v>
      </c>
      <c r="I279">
        <f t="shared" si="28"/>
        <v>1</v>
      </c>
      <c r="J279">
        <f t="shared" si="29"/>
        <v>0</v>
      </c>
      <c r="K279">
        <v>36832.33</v>
      </c>
      <c r="L279">
        <v>8001</v>
      </c>
      <c r="M279">
        <v>0</v>
      </c>
      <c r="N279">
        <v>19</v>
      </c>
      <c r="O279">
        <v>88.7</v>
      </c>
      <c r="P279">
        <v>3.39</v>
      </c>
      <c r="Q279">
        <v>0</v>
      </c>
      <c r="R279">
        <v>4</v>
      </c>
      <c r="S279">
        <v>738548.42</v>
      </c>
      <c r="T279">
        <v>134282.76999999999</v>
      </c>
    </row>
    <row r="280" spans="1:20">
      <c r="A280" t="s">
        <v>91</v>
      </c>
      <c r="B280" s="2">
        <v>45717</v>
      </c>
      <c r="C280" t="s">
        <v>24</v>
      </c>
      <c r="D280">
        <f t="shared" si="24"/>
        <v>0</v>
      </c>
      <c r="E280">
        <f t="shared" si="25"/>
        <v>1</v>
      </c>
      <c r="F280">
        <f t="shared" si="26"/>
        <v>0</v>
      </c>
      <c r="G280" t="s">
        <v>16</v>
      </c>
      <c r="H280">
        <f t="shared" si="27"/>
        <v>0</v>
      </c>
      <c r="I280">
        <f t="shared" si="28"/>
        <v>1</v>
      </c>
      <c r="J280">
        <f t="shared" si="29"/>
        <v>0</v>
      </c>
      <c r="K280">
        <v>48609.41</v>
      </c>
      <c r="L280">
        <v>9324</v>
      </c>
      <c r="M280">
        <v>0.21299999999999999</v>
      </c>
      <c r="N280">
        <v>18</v>
      </c>
      <c r="O280">
        <v>86.5</v>
      </c>
      <c r="P280">
        <v>1.44</v>
      </c>
      <c r="Q280">
        <v>0</v>
      </c>
      <c r="R280">
        <v>3.9</v>
      </c>
      <c r="S280">
        <v>756619.77</v>
      </c>
      <c r="T280">
        <v>112057.69</v>
      </c>
    </row>
    <row r="281" spans="1:20">
      <c r="A281" t="s">
        <v>91</v>
      </c>
      <c r="B281" s="2">
        <v>45748</v>
      </c>
      <c r="C281" t="s">
        <v>24</v>
      </c>
      <c r="D281">
        <f t="shared" si="24"/>
        <v>0</v>
      </c>
      <c r="E281">
        <f t="shared" si="25"/>
        <v>1</v>
      </c>
      <c r="F281">
        <f t="shared" si="26"/>
        <v>0</v>
      </c>
      <c r="G281" t="s">
        <v>16</v>
      </c>
      <c r="H281">
        <f t="shared" si="27"/>
        <v>0</v>
      </c>
      <c r="I281">
        <f t="shared" si="28"/>
        <v>1</v>
      </c>
      <c r="J281">
        <f t="shared" si="29"/>
        <v>0</v>
      </c>
      <c r="K281">
        <v>70284.06</v>
      </c>
      <c r="L281">
        <v>9109</v>
      </c>
      <c r="M281">
        <v>4.0000000000000001E-3</v>
      </c>
      <c r="N281">
        <v>23</v>
      </c>
      <c r="O281">
        <v>87</v>
      </c>
      <c r="P281">
        <v>3.65</v>
      </c>
      <c r="Q281">
        <v>0</v>
      </c>
      <c r="R281">
        <v>3.7</v>
      </c>
      <c r="S281">
        <v>761122.42</v>
      </c>
      <c r="T281">
        <v>149802.04</v>
      </c>
    </row>
    <row r="282" spans="1:20">
      <c r="A282" t="s">
        <v>92</v>
      </c>
      <c r="B282" s="2">
        <v>45658</v>
      </c>
      <c r="C282" t="s">
        <v>24</v>
      </c>
      <c r="D282">
        <f t="shared" si="24"/>
        <v>0</v>
      </c>
      <c r="E282">
        <f t="shared" si="25"/>
        <v>1</v>
      </c>
      <c r="F282">
        <f t="shared" si="26"/>
        <v>0</v>
      </c>
      <c r="G282" t="s">
        <v>18</v>
      </c>
      <c r="H282">
        <f t="shared" si="27"/>
        <v>1</v>
      </c>
      <c r="I282">
        <f t="shared" si="28"/>
        <v>0</v>
      </c>
      <c r="J282">
        <f t="shared" si="29"/>
        <v>0</v>
      </c>
      <c r="K282">
        <v>45940.39</v>
      </c>
      <c r="L282">
        <v>4022</v>
      </c>
      <c r="M282">
        <v>6.9000000000000006E-2</v>
      </c>
      <c r="N282">
        <v>10</v>
      </c>
      <c r="O282">
        <v>83</v>
      </c>
      <c r="P282">
        <v>1.23</v>
      </c>
      <c r="Q282">
        <v>1</v>
      </c>
      <c r="R282">
        <v>3.8</v>
      </c>
      <c r="S282">
        <v>524899.56999999995</v>
      </c>
      <c r="T282">
        <v>63619.98</v>
      </c>
    </row>
    <row r="283" spans="1:20">
      <c r="A283" t="s">
        <v>92</v>
      </c>
      <c r="B283" s="2">
        <v>45689</v>
      </c>
      <c r="C283" t="s">
        <v>24</v>
      </c>
      <c r="D283">
        <f t="shared" si="24"/>
        <v>0</v>
      </c>
      <c r="E283">
        <f t="shared" si="25"/>
        <v>1</v>
      </c>
      <c r="F283">
        <f t="shared" si="26"/>
        <v>0</v>
      </c>
      <c r="G283" t="s">
        <v>18</v>
      </c>
      <c r="H283">
        <f t="shared" si="27"/>
        <v>1</v>
      </c>
      <c r="I283">
        <f t="shared" si="28"/>
        <v>0</v>
      </c>
      <c r="J283">
        <f t="shared" si="29"/>
        <v>0</v>
      </c>
      <c r="K283">
        <v>34771.26</v>
      </c>
      <c r="L283">
        <v>4355</v>
      </c>
      <c r="M283">
        <v>5.0999999999999997E-2</v>
      </c>
      <c r="N283">
        <v>15</v>
      </c>
      <c r="O283">
        <v>87.9</v>
      </c>
      <c r="P283">
        <v>3.09</v>
      </c>
      <c r="Q283">
        <v>0</v>
      </c>
      <c r="R283">
        <v>4</v>
      </c>
      <c r="S283">
        <v>555557.77</v>
      </c>
      <c r="T283">
        <v>86475.51</v>
      </c>
    </row>
    <row r="284" spans="1:20">
      <c r="A284" t="s">
        <v>92</v>
      </c>
      <c r="B284" s="2">
        <v>45717</v>
      </c>
      <c r="C284" t="s">
        <v>24</v>
      </c>
      <c r="D284">
        <f t="shared" si="24"/>
        <v>0</v>
      </c>
      <c r="E284">
        <f t="shared" si="25"/>
        <v>1</v>
      </c>
      <c r="F284">
        <f t="shared" si="26"/>
        <v>0</v>
      </c>
      <c r="G284" t="s">
        <v>18</v>
      </c>
      <c r="H284">
        <f t="shared" si="27"/>
        <v>1</v>
      </c>
      <c r="I284">
        <f t="shared" si="28"/>
        <v>0</v>
      </c>
      <c r="J284">
        <f t="shared" si="29"/>
        <v>0</v>
      </c>
      <c r="K284">
        <v>66104.19</v>
      </c>
      <c r="L284">
        <v>5745</v>
      </c>
      <c r="M284">
        <v>7.0000000000000007E-2</v>
      </c>
      <c r="N284">
        <v>17</v>
      </c>
      <c r="O284">
        <v>95.8</v>
      </c>
      <c r="P284">
        <v>3.15</v>
      </c>
      <c r="Q284">
        <v>0</v>
      </c>
      <c r="R284">
        <v>4</v>
      </c>
      <c r="S284">
        <v>714083.68</v>
      </c>
      <c r="T284">
        <v>127231.74</v>
      </c>
    </row>
    <row r="285" spans="1:20">
      <c r="A285" t="s">
        <v>92</v>
      </c>
      <c r="B285" s="2">
        <v>45748</v>
      </c>
      <c r="C285" t="s">
        <v>24</v>
      </c>
      <c r="D285">
        <f t="shared" si="24"/>
        <v>0</v>
      </c>
      <c r="E285">
        <f t="shared" si="25"/>
        <v>1</v>
      </c>
      <c r="F285">
        <f t="shared" si="26"/>
        <v>0</v>
      </c>
      <c r="G285" t="s">
        <v>18</v>
      </c>
      <c r="H285">
        <f t="shared" si="27"/>
        <v>1</v>
      </c>
      <c r="I285">
        <f t="shared" si="28"/>
        <v>0</v>
      </c>
      <c r="J285">
        <f t="shared" si="29"/>
        <v>0</v>
      </c>
      <c r="K285">
        <v>18599.21</v>
      </c>
      <c r="L285">
        <v>3027</v>
      </c>
      <c r="M285">
        <v>0.122</v>
      </c>
      <c r="N285">
        <v>11</v>
      </c>
      <c r="O285">
        <v>80.900000000000006</v>
      </c>
      <c r="P285">
        <v>6.44</v>
      </c>
      <c r="Q285">
        <v>0</v>
      </c>
      <c r="R285">
        <v>4.2</v>
      </c>
      <c r="S285">
        <v>497439.82</v>
      </c>
      <c r="T285">
        <v>93372.75</v>
      </c>
    </row>
    <row r="286" spans="1:20">
      <c r="A286" t="s">
        <v>93</v>
      </c>
      <c r="B286" s="2">
        <v>45658</v>
      </c>
      <c r="C286" t="s">
        <v>27</v>
      </c>
      <c r="D286">
        <f t="shared" si="24"/>
        <v>0</v>
      </c>
      <c r="E286">
        <f t="shared" si="25"/>
        <v>0</v>
      </c>
      <c r="F286">
        <f t="shared" si="26"/>
        <v>1</v>
      </c>
      <c r="G286" t="s">
        <v>16</v>
      </c>
      <c r="H286">
        <f t="shared" si="27"/>
        <v>0</v>
      </c>
      <c r="I286">
        <f t="shared" si="28"/>
        <v>1</v>
      </c>
      <c r="J286">
        <f t="shared" si="29"/>
        <v>0</v>
      </c>
      <c r="K286">
        <v>60183.06</v>
      </c>
      <c r="L286">
        <v>5562</v>
      </c>
      <c r="M286">
        <v>8.9999999999999993E-3</v>
      </c>
      <c r="N286">
        <v>13</v>
      </c>
      <c r="O286">
        <v>86.3</v>
      </c>
      <c r="P286">
        <v>0.2</v>
      </c>
      <c r="Q286">
        <v>1</v>
      </c>
      <c r="R286">
        <v>4.5</v>
      </c>
      <c r="S286">
        <v>636775.66</v>
      </c>
      <c r="T286">
        <v>122636.86</v>
      </c>
    </row>
    <row r="287" spans="1:20">
      <c r="A287" t="s">
        <v>93</v>
      </c>
      <c r="B287" s="2">
        <v>45689</v>
      </c>
      <c r="C287" t="s">
        <v>27</v>
      </c>
      <c r="D287">
        <f t="shared" si="24"/>
        <v>0</v>
      </c>
      <c r="E287">
        <f t="shared" si="25"/>
        <v>0</v>
      </c>
      <c r="F287">
        <f t="shared" si="26"/>
        <v>1</v>
      </c>
      <c r="G287" t="s">
        <v>16</v>
      </c>
      <c r="H287">
        <f t="shared" si="27"/>
        <v>0</v>
      </c>
      <c r="I287">
        <f t="shared" si="28"/>
        <v>1</v>
      </c>
      <c r="J287">
        <f t="shared" si="29"/>
        <v>0</v>
      </c>
      <c r="K287">
        <v>74539.14</v>
      </c>
      <c r="L287">
        <v>4487</v>
      </c>
      <c r="M287">
        <v>0.14000000000000001</v>
      </c>
      <c r="N287">
        <v>10</v>
      </c>
      <c r="O287">
        <v>90.4</v>
      </c>
      <c r="P287">
        <v>0.59</v>
      </c>
      <c r="Q287">
        <v>0</v>
      </c>
      <c r="R287">
        <v>4.5</v>
      </c>
      <c r="S287">
        <v>633009.53</v>
      </c>
      <c r="T287">
        <v>123782.67</v>
      </c>
    </row>
    <row r="288" spans="1:20">
      <c r="A288" t="s">
        <v>93</v>
      </c>
      <c r="B288" s="2">
        <v>45717</v>
      </c>
      <c r="C288" t="s">
        <v>27</v>
      </c>
      <c r="D288">
        <f t="shared" si="24"/>
        <v>0</v>
      </c>
      <c r="E288">
        <f t="shared" si="25"/>
        <v>0</v>
      </c>
      <c r="F288">
        <f t="shared" si="26"/>
        <v>1</v>
      </c>
      <c r="G288" t="s">
        <v>16</v>
      </c>
      <c r="H288">
        <f t="shared" si="27"/>
        <v>0</v>
      </c>
      <c r="I288">
        <f t="shared" si="28"/>
        <v>1</v>
      </c>
      <c r="J288">
        <f t="shared" si="29"/>
        <v>0</v>
      </c>
      <c r="K288">
        <v>55371.97</v>
      </c>
      <c r="L288">
        <v>4162</v>
      </c>
      <c r="M288">
        <v>0.183</v>
      </c>
      <c r="N288">
        <v>11</v>
      </c>
      <c r="O288">
        <v>92</v>
      </c>
      <c r="P288">
        <v>0.2</v>
      </c>
      <c r="Q288">
        <v>1</v>
      </c>
      <c r="R288">
        <v>4.2</v>
      </c>
      <c r="S288">
        <v>609949</v>
      </c>
      <c r="T288">
        <v>126789.25</v>
      </c>
    </row>
    <row r="289" spans="1:20">
      <c r="A289" t="s">
        <v>93</v>
      </c>
      <c r="B289" s="2">
        <v>45748</v>
      </c>
      <c r="C289" t="s">
        <v>27</v>
      </c>
      <c r="D289">
        <f t="shared" si="24"/>
        <v>0</v>
      </c>
      <c r="E289">
        <f t="shared" si="25"/>
        <v>0</v>
      </c>
      <c r="F289">
        <f t="shared" si="26"/>
        <v>1</v>
      </c>
      <c r="G289" t="s">
        <v>16</v>
      </c>
      <c r="H289">
        <f t="shared" si="27"/>
        <v>0</v>
      </c>
      <c r="I289">
        <f t="shared" si="28"/>
        <v>1</v>
      </c>
      <c r="J289">
        <f t="shared" si="29"/>
        <v>0</v>
      </c>
      <c r="K289">
        <v>40928.69</v>
      </c>
      <c r="L289">
        <v>4094</v>
      </c>
      <c r="M289">
        <v>0.17399999999999999</v>
      </c>
      <c r="N289">
        <v>13</v>
      </c>
      <c r="O289">
        <v>82.4</v>
      </c>
      <c r="P289">
        <v>1.36</v>
      </c>
      <c r="Q289">
        <v>0</v>
      </c>
      <c r="R289">
        <v>4.8</v>
      </c>
      <c r="S289">
        <v>548103.69999999995</v>
      </c>
      <c r="T289">
        <v>99905.52</v>
      </c>
    </row>
    <row r="290" spans="1:20">
      <c r="A290" t="s">
        <v>94</v>
      </c>
      <c r="B290" s="2">
        <v>45658</v>
      </c>
      <c r="C290" t="s">
        <v>15</v>
      </c>
      <c r="D290">
        <f t="shared" si="24"/>
        <v>0</v>
      </c>
      <c r="E290">
        <f t="shared" si="25"/>
        <v>0</v>
      </c>
      <c r="F290">
        <f t="shared" si="26"/>
        <v>0</v>
      </c>
      <c r="G290" t="s">
        <v>16</v>
      </c>
      <c r="H290">
        <f t="shared" si="27"/>
        <v>0</v>
      </c>
      <c r="I290">
        <f t="shared" si="28"/>
        <v>1</v>
      </c>
      <c r="J290">
        <f t="shared" si="29"/>
        <v>0</v>
      </c>
      <c r="K290">
        <v>70012.41</v>
      </c>
      <c r="L290">
        <v>8484</v>
      </c>
      <c r="M290">
        <v>0.27300000000000002</v>
      </c>
      <c r="N290">
        <v>23</v>
      </c>
      <c r="O290">
        <v>72.900000000000006</v>
      </c>
      <c r="P290">
        <v>3.34</v>
      </c>
      <c r="Q290">
        <v>0</v>
      </c>
      <c r="R290">
        <v>3.7</v>
      </c>
      <c r="S290">
        <v>729424.42</v>
      </c>
      <c r="T290">
        <v>75592.28</v>
      </c>
    </row>
    <row r="291" spans="1:20">
      <c r="A291" t="s">
        <v>94</v>
      </c>
      <c r="B291" s="2">
        <v>45689</v>
      </c>
      <c r="C291" t="s">
        <v>15</v>
      </c>
      <c r="D291">
        <f t="shared" si="24"/>
        <v>0</v>
      </c>
      <c r="E291">
        <f t="shared" si="25"/>
        <v>0</v>
      </c>
      <c r="F291">
        <f t="shared" si="26"/>
        <v>0</v>
      </c>
      <c r="G291" t="s">
        <v>16</v>
      </c>
      <c r="H291">
        <f t="shared" si="27"/>
        <v>0</v>
      </c>
      <c r="I291">
        <f t="shared" si="28"/>
        <v>1</v>
      </c>
      <c r="J291">
        <f t="shared" si="29"/>
        <v>0</v>
      </c>
      <c r="K291">
        <v>68909.259999999995</v>
      </c>
      <c r="L291">
        <v>7794</v>
      </c>
      <c r="M291">
        <v>0.28399999999999997</v>
      </c>
      <c r="N291">
        <v>22</v>
      </c>
      <c r="O291">
        <v>89</v>
      </c>
      <c r="P291">
        <v>0.33</v>
      </c>
      <c r="Q291">
        <v>0</v>
      </c>
      <c r="R291">
        <v>4</v>
      </c>
      <c r="S291">
        <v>696261.49</v>
      </c>
      <c r="T291">
        <v>72455.350000000006</v>
      </c>
    </row>
    <row r="292" spans="1:20">
      <c r="A292" t="s">
        <v>94</v>
      </c>
      <c r="B292" s="2">
        <v>45717</v>
      </c>
      <c r="C292" t="s">
        <v>15</v>
      </c>
      <c r="D292">
        <f t="shared" si="24"/>
        <v>0</v>
      </c>
      <c r="E292">
        <f t="shared" si="25"/>
        <v>0</v>
      </c>
      <c r="F292">
        <f t="shared" si="26"/>
        <v>0</v>
      </c>
      <c r="G292" t="s">
        <v>16</v>
      </c>
      <c r="H292">
        <f t="shared" si="27"/>
        <v>0</v>
      </c>
      <c r="I292">
        <f t="shared" si="28"/>
        <v>1</v>
      </c>
      <c r="J292">
        <f t="shared" si="29"/>
        <v>0</v>
      </c>
      <c r="K292">
        <v>56737.3</v>
      </c>
      <c r="L292">
        <v>8300</v>
      </c>
      <c r="M292">
        <v>3.2000000000000001E-2</v>
      </c>
      <c r="N292">
        <v>21</v>
      </c>
      <c r="O292">
        <v>83.2</v>
      </c>
      <c r="P292">
        <v>3.44</v>
      </c>
      <c r="Q292">
        <v>1</v>
      </c>
      <c r="R292">
        <v>4.3</v>
      </c>
      <c r="S292">
        <v>813316.71</v>
      </c>
      <c r="T292">
        <v>110077.42</v>
      </c>
    </row>
    <row r="293" spans="1:20">
      <c r="A293" t="s">
        <v>94</v>
      </c>
      <c r="B293" s="2">
        <v>45748</v>
      </c>
      <c r="C293" t="s">
        <v>15</v>
      </c>
      <c r="D293">
        <f t="shared" si="24"/>
        <v>0</v>
      </c>
      <c r="E293">
        <f t="shared" si="25"/>
        <v>0</v>
      </c>
      <c r="F293">
        <f t="shared" si="26"/>
        <v>0</v>
      </c>
      <c r="G293" t="s">
        <v>16</v>
      </c>
      <c r="H293">
        <f t="shared" si="27"/>
        <v>0</v>
      </c>
      <c r="I293">
        <f t="shared" si="28"/>
        <v>1</v>
      </c>
      <c r="J293">
        <f t="shared" si="29"/>
        <v>0</v>
      </c>
      <c r="K293">
        <v>54080.91</v>
      </c>
      <c r="L293">
        <v>7083</v>
      </c>
      <c r="M293">
        <v>0</v>
      </c>
      <c r="N293">
        <v>15</v>
      </c>
      <c r="O293">
        <v>97</v>
      </c>
      <c r="P293">
        <v>5.33</v>
      </c>
      <c r="Q293">
        <v>0</v>
      </c>
      <c r="R293">
        <v>4.0999999999999996</v>
      </c>
      <c r="S293">
        <v>702068.92</v>
      </c>
      <c r="T293">
        <v>111266.63</v>
      </c>
    </row>
    <row r="294" spans="1:20">
      <c r="A294" t="s">
        <v>95</v>
      </c>
      <c r="B294" s="2">
        <v>45658</v>
      </c>
      <c r="C294" t="s">
        <v>27</v>
      </c>
      <c r="D294">
        <f t="shared" si="24"/>
        <v>0</v>
      </c>
      <c r="E294">
        <f t="shared" si="25"/>
        <v>0</v>
      </c>
      <c r="F294">
        <f t="shared" si="26"/>
        <v>1</v>
      </c>
      <c r="G294" t="s">
        <v>18</v>
      </c>
      <c r="H294">
        <f t="shared" si="27"/>
        <v>1</v>
      </c>
      <c r="I294">
        <f t="shared" si="28"/>
        <v>0</v>
      </c>
      <c r="J294">
        <f t="shared" si="29"/>
        <v>0</v>
      </c>
      <c r="K294">
        <v>51996.32</v>
      </c>
      <c r="L294">
        <v>3834</v>
      </c>
      <c r="M294">
        <v>9.6000000000000002E-2</v>
      </c>
      <c r="N294">
        <v>8</v>
      </c>
      <c r="O294">
        <v>86.7</v>
      </c>
      <c r="P294">
        <v>6.04</v>
      </c>
      <c r="Q294">
        <v>0</v>
      </c>
      <c r="R294">
        <v>4.5</v>
      </c>
      <c r="S294">
        <v>546223.69999999995</v>
      </c>
      <c r="T294">
        <v>100769.17</v>
      </c>
    </row>
    <row r="295" spans="1:20">
      <c r="A295" t="s">
        <v>95</v>
      </c>
      <c r="B295" s="2">
        <v>45689</v>
      </c>
      <c r="C295" t="s">
        <v>27</v>
      </c>
      <c r="D295">
        <f t="shared" si="24"/>
        <v>0</v>
      </c>
      <c r="E295">
        <f t="shared" si="25"/>
        <v>0</v>
      </c>
      <c r="F295">
        <f t="shared" si="26"/>
        <v>1</v>
      </c>
      <c r="G295" t="s">
        <v>18</v>
      </c>
      <c r="H295">
        <f t="shared" si="27"/>
        <v>1</v>
      </c>
      <c r="I295">
        <f t="shared" si="28"/>
        <v>0</v>
      </c>
      <c r="J295">
        <f t="shared" si="29"/>
        <v>0</v>
      </c>
      <c r="K295">
        <v>40102.879999999997</v>
      </c>
      <c r="L295">
        <v>2358</v>
      </c>
      <c r="M295">
        <v>0.11899999999999999</v>
      </c>
      <c r="N295">
        <v>9</v>
      </c>
      <c r="O295">
        <v>88.7</v>
      </c>
      <c r="P295">
        <v>1.6</v>
      </c>
      <c r="Q295">
        <v>0</v>
      </c>
      <c r="R295">
        <v>4.2</v>
      </c>
      <c r="S295">
        <v>533121.26</v>
      </c>
      <c r="T295">
        <v>55063.39</v>
      </c>
    </row>
    <row r="296" spans="1:20">
      <c r="A296" t="s">
        <v>95</v>
      </c>
      <c r="B296" s="2">
        <v>45717</v>
      </c>
      <c r="C296" t="s">
        <v>27</v>
      </c>
      <c r="D296">
        <f t="shared" si="24"/>
        <v>0</v>
      </c>
      <c r="E296">
        <f t="shared" si="25"/>
        <v>0</v>
      </c>
      <c r="F296">
        <f t="shared" si="26"/>
        <v>1</v>
      </c>
      <c r="G296" t="s">
        <v>18</v>
      </c>
      <c r="H296">
        <f t="shared" si="27"/>
        <v>1</v>
      </c>
      <c r="I296">
        <f t="shared" si="28"/>
        <v>0</v>
      </c>
      <c r="J296">
        <f t="shared" si="29"/>
        <v>0</v>
      </c>
      <c r="K296">
        <v>59825.51</v>
      </c>
      <c r="L296">
        <v>1231</v>
      </c>
      <c r="M296">
        <v>0.214</v>
      </c>
      <c r="N296">
        <v>10</v>
      </c>
      <c r="O296">
        <v>84.8</v>
      </c>
      <c r="P296">
        <v>8.9600000000000009</v>
      </c>
      <c r="Q296">
        <v>0</v>
      </c>
      <c r="R296">
        <v>4.7</v>
      </c>
      <c r="S296">
        <v>498970.32</v>
      </c>
      <c r="T296">
        <v>69656.7</v>
      </c>
    </row>
    <row r="297" spans="1:20">
      <c r="A297" t="s">
        <v>95</v>
      </c>
      <c r="B297" s="2">
        <v>45748</v>
      </c>
      <c r="C297" t="s">
        <v>27</v>
      </c>
      <c r="D297">
        <f t="shared" si="24"/>
        <v>0</v>
      </c>
      <c r="E297">
        <f t="shared" si="25"/>
        <v>0</v>
      </c>
      <c r="F297">
        <f t="shared" si="26"/>
        <v>1</v>
      </c>
      <c r="G297" t="s">
        <v>18</v>
      </c>
      <c r="H297">
        <f t="shared" si="27"/>
        <v>1</v>
      </c>
      <c r="I297">
        <f t="shared" si="28"/>
        <v>0</v>
      </c>
      <c r="J297">
        <f t="shared" si="29"/>
        <v>0</v>
      </c>
      <c r="K297">
        <v>27398.28</v>
      </c>
      <c r="L297">
        <v>1723</v>
      </c>
      <c r="M297">
        <v>0.17100000000000001</v>
      </c>
      <c r="N297">
        <v>9</v>
      </c>
      <c r="O297">
        <v>81</v>
      </c>
      <c r="P297">
        <v>0.74</v>
      </c>
      <c r="Q297">
        <v>0</v>
      </c>
      <c r="R297">
        <v>4.5999999999999996</v>
      </c>
      <c r="S297">
        <v>487738.26</v>
      </c>
      <c r="T297">
        <v>96435.6</v>
      </c>
    </row>
    <row r="298" spans="1:20">
      <c r="A298" t="s">
        <v>96</v>
      </c>
      <c r="B298" s="2">
        <v>45658</v>
      </c>
      <c r="C298" t="s">
        <v>27</v>
      </c>
      <c r="D298">
        <f t="shared" si="24"/>
        <v>0</v>
      </c>
      <c r="E298">
        <f t="shared" si="25"/>
        <v>0</v>
      </c>
      <c r="F298">
        <f t="shared" si="26"/>
        <v>1</v>
      </c>
      <c r="G298" t="s">
        <v>18</v>
      </c>
      <c r="H298">
        <f t="shared" si="27"/>
        <v>1</v>
      </c>
      <c r="I298">
        <f t="shared" si="28"/>
        <v>0</v>
      </c>
      <c r="J298">
        <f t="shared" si="29"/>
        <v>0</v>
      </c>
      <c r="K298">
        <v>55599.56</v>
      </c>
      <c r="L298">
        <v>5896</v>
      </c>
      <c r="M298">
        <v>3.5999999999999997E-2</v>
      </c>
      <c r="N298">
        <v>12</v>
      </c>
      <c r="O298">
        <v>93.1</v>
      </c>
      <c r="P298">
        <v>6.13</v>
      </c>
      <c r="Q298">
        <v>0</v>
      </c>
      <c r="R298">
        <v>3.3</v>
      </c>
      <c r="S298">
        <v>668459.37</v>
      </c>
      <c r="T298">
        <v>126435.42</v>
      </c>
    </row>
    <row r="299" spans="1:20">
      <c r="A299" t="s">
        <v>96</v>
      </c>
      <c r="B299" s="2">
        <v>45689</v>
      </c>
      <c r="C299" t="s">
        <v>27</v>
      </c>
      <c r="D299">
        <f t="shared" si="24"/>
        <v>0</v>
      </c>
      <c r="E299">
        <f t="shared" si="25"/>
        <v>0</v>
      </c>
      <c r="F299">
        <f t="shared" si="26"/>
        <v>1</v>
      </c>
      <c r="G299" t="s">
        <v>18</v>
      </c>
      <c r="H299">
        <f t="shared" si="27"/>
        <v>1</v>
      </c>
      <c r="I299">
        <f t="shared" si="28"/>
        <v>0</v>
      </c>
      <c r="J299">
        <f t="shared" si="29"/>
        <v>0</v>
      </c>
      <c r="K299">
        <v>55477.61</v>
      </c>
      <c r="L299">
        <v>5903</v>
      </c>
      <c r="M299">
        <v>0.10199999999999999</v>
      </c>
      <c r="N299">
        <v>14</v>
      </c>
      <c r="O299">
        <v>96.2</v>
      </c>
      <c r="P299">
        <v>1.41</v>
      </c>
      <c r="Q299">
        <v>0</v>
      </c>
      <c r="R299">
        <v>3.3</v>
      </c>
      <c r="S299">
        <v>763162.45</v>
      </c>
      <c r="T299">
        <v>162524.04999999999</v>
      </c>
    </row>
    <row r="300" spans="1:20">
      <c r="A300" t="s">
        <v>96</v>
      </c>
      <c r="B300" s="2">
        <v>45717</v>
      </c>
      <c r="C300" t="s">
        <v>27</v>
      </c>
      <c r="D300">
        <f t="shared" si="24"/>
        <v>0</v>
      </c>
      <c r="E300">
        <f t="shared" si="25"/>
        <v>0</v>
      </c>
      <c r="F300">
        <f t="shared" si="26"/>
        <v>1</v>
      </c>
      <c r="G300" t="s">
        <v>18</v>
      </c>
      <c r="H300">
        <f t="shared" si="27"/>
        <v>1</v>
      </c>
      <c r="I300">
        <f t="shared" si="28"/>
        <v>0</v>
      </c>
      <c r="J300">
        <f t="shared" si="29"/>
        <v>0</v>
      </c>
      <c r="K300">
        <v>46174.7</v>
      </c>
      <c r="L300">
        <v>4898</v>
      </c>
      <c r="M300">
        <v>0.114</v>
      </c>
      <c r="N300">
        <v>11</v>
      </c>
      <c r="O300">
        <v>91.7</v>
      </c>
      <c r="P300">
        <v>3.75</v>
      </c>
      <c r="Q300">
        <v>0</v>
      </c>
      <c r="R300">
        <v>3.1</v>
      </c>
      <c r="S300">
        <v>599017.32999999996</v>
      </c>
      <c r="T300">
        <v>134009.92000000001</v>
      </c>
    </row>
    <row r="301" spans="1:20">
      <c r="A301" t="s">
        <v>96</v>
      </c>
      <c r="B301" s="2">
        <v>45748</v>
      </c>
      <c r="C301" t="s">
        <v>27</v>
      </c>
      <c r="D301">
        <f t="shared" si="24"/>
        <v>0</v>
      </c>
      <c r="E301">
        <f t="shared" si="25"/>
        <v>0</v>
      </c>
      <c r="F301">
        <f t="shared" si="26"/>
        <v>1</v>
      </c>
      <c r="G301" t="s">
        <v>18</v>
      </c>
      <c r="H301">
        <f t="shared" si="27"/>
        <v>1</v>
      </c>
      <c r="I301">
        <f t="shared" si="28"/>
        <v>0</v>
      </c>
      <c r="J301">
        <f t="shared" si="29"/>
        <v>0</v>
      </c>
      <c r="K301">
        <v>24362.98</v>
      </c>
      <c r="L301">
        <v>1462</v>
      </c>
      <c r="M301">
        <v>0.11700000000000001</v>
      </c>
      <c r="N301">
        <v>6</v>
      </c>
      <c r="O301">
        <v>89.3</v>
      </c>
      <c r="P301">
        <v>15.06</v>
      </c>
      <c r="Q301">
        <v>0</v>
      </c>
      <c r="R301">
        <v>3.2</v>
      </c>
      <c r="S301">
        <v>401582.58</v>
      </c>
      <c r="T301">
        <v>68454.929999999993</v>
      </c>
    </row>
    <row r="302" spans="1:20">
      <c r="A302" t="s">
        <v>97</v>
      </c>
      <c r="B302" s="2">
        <v>45658</v>
      </c>
      <c r="C302" t="s">
        <v>20</v>
      </c>
      <c r="D302">
        <f t="shared" si="24"/>
        <v>1</v>
      </c>
      <c r="E302">
        <f t="shared" si="25"/>
        <v>0</v>
      </c>
      <c r="F302">
        <f t="shared" si="26"/>
        <v>0</v>
      </c>
      <c r="G302" t="s">
        <v>28</v>
      </c>
      <c r="H302">
        <f t="shared" si="27"/>
        <v>0</v>
      </c>
      <c r="I302">
        <f t="shared" si="28"/>
        <v>0</v>
      </c>
      <c r="J302">
        <f t="shared" si="29"/>
        <v>0</v>
      </c>
      <c r="K302">
        <v>40647.67</v>
      </c>
      <c r="L302">
        <v>8252</v>
      </c>
      <c r="M302">
        <v>0.14099999999999999</v>
      </c>
      <c r="N302">
        <v>22</v>
      </c>
      <c r="O302">
        <v>88.2</v>
      </c>
      <c r="P302">
        <v>5.07</v>
      </c>
      <c r="Q302">
        <v>1</v>
      </c>
      <c r="R302">
        <v>4.0999999999999996</v>
      </c>
      <c r="S302">
        <v>703812.99</v>
      </c>
      <c r="T302">
        <v>133577.98000000001</v>
      </c>
    </row>
    <row r="303" spans="1:20">
      <c r="A303" t="s">
        <v>97</v>
      </c>
      <c r="B303" s="2">
        <v>45689</v>
      </c>
      <c r="C303" t="s">
        <v>20</v>
      </c>
      <c r="D303">
        <f t="shared" si="24"/>
        <v>1</v>
      </c>
      <c r="E303">
        <f t="shared" si="25"/>
        <v>0</v>
      </c>
      <c r="F303">
        <f t="shared" si="26"/>
        <v>0</v>
      </c>
      <c r="G303" t="s">
        <v>28</v>
      </c>
      <c r="H303">
        <f t="shared" si="27"/>
        <v>0</v>
      </c>
      <c r="I303">
        <f t="shared" si="28"/>
        <v>0</v>
      </c>
      <c r="J303">
        <f t="shared" si="29"/>
        <v>0</v>
      </c>
      <c r="K303">
        <v>63986.98</v>
      </c>
      <c r="L303">
        <v>7989</v>
      </c>
      <c r="M303">
        <v>7.3999999999999996E-2</v>
      </c>
      <c r="N303">
        <v>20</v>
      </c>
      <c r="O303">
        <v>83.3</v>
      </c>
      <c r="P303">
        <v>3.6</v>
      </c>
      <c r="Q303">
        <v>0</v>
      </c>
      <c r="R303">
        <v>3.7</v>
      </c>
      <c r="S303">
        <v>724346.73</v>
      </c>
      <c r="T303">
        <v>155013.91</v>
      </c>
    </row>
    <row r="304" spans="1:20">
      <c r="A304" t="s">
        <v>97</v>
      </c>
      <c r="B304" s="2">
        <v>45717</v>
      </c>
      <c r="C304" t="s">
        <v>20</v>
      </c>
      <c r="D304">
        <f t="shared" si="24"/>
        <v>1</v>
      </c>
      <c r="E304">
        <f t="shared" si="25"/>
        <v>0</v>
      </c>
      <c r="F304">
        <f t="shared" si="26"/>
        <v>0</v>
      </c>
      <c r="G304" t="s">
        <v>28</v>
      </c>
      <c r="H304">
        <f t="shared" si="27"/>
        <v>0</v>
      </c>
      <c r="I304">
        <f t="shared" si="28"/>
        <v>0</v>
      </c>
      <c r="J304">
        <f t="shared" si="29"/>
        <v>0</v>
      </c>
      <c r="K304">
        <v>52843.75</v>
      </c>
      <c r="L304">
        <v>8268</v>
      </c>
      <c r="M304">
        <v>0.13800000000000001</v>
      </c>
      <c r="N304">
        <v>19</v>
      </c>
      <c r="O304">
        <v>87.3</v>
      </c>
      <c r="P304">
        <v>4.3899999999999997</v>
      </c>
      <c r="Q304">
        <v>1</v>
      </c>
      <c r="R304">
        <v>4.7</v>
      </c>
      <c r="S304">
        <v>730890.01</v>
      </c>
      <c r="T304">
        <v>105502.56</v>
      </c>
    </row>
    <row r="305" spans="1:20">
      <c r="A305" t="s">
        <v>97</v>
      </c>
      <c r="B305" s="2">
        <v>45748</v>
      </c>
      <c r="C305" t="s">
        <v>20</v>
      </c>
      <c r="D305">
        <f t="shared" si="24"/>
        <v>1</v>
      </c>
      <c r="E305">
        <f t="shared" si="25"/>
        <v>0</v>
      </c>
      <c r="F305">
        <f t="shared" si="26"/>
        <v>0</v>
      </c>
      <c r="G305" t="s">
        <v>28</v>
      </c>
      <c r="H305">
        <f t="shared" si="27"/>
        <v>0</v>
      </c>
      <c r="I305">
        <f t="shared" si="28"/>
        <v>0</v>
      </c>
      <c r="J305">
        <f t="shared" si="29"/>
        <v>0</v>
      </c>
      <c r="K305">
        <v>31997.25</v>
      </c>
      <c r="L305">
        <v>8183</v>
      </c>
      <c r="M305">
        <v>0.19800000000000001</v>
      </c>
      <c r="N305">
        <v>18</v>
      </c>
      <c r="O305">
        <v>93</v>
      </c>
      <c r="P305">
        <v>2.79</v>
      </c>
      <c r="Q305">
        <v>0</v>
      </c>
      <c r="R305">
        <v>4.2</v>
      </c>
      <c r="S305">
        <v>780580.95</v>
      </c>
      <c r="T305">
        <v>138144.46</v>
      </c>
    </row>
    <row r="306" spans="1:20">
      <c r="A306" t="s">
        <v>98</v>
      </c>
      <c r="B306" s="2">
        <v>45658</v>
      </c>
      <c r="C306" t="s">
        <v>24</v>
      </c>
      <c r="D306">
        <f t="shared" si="24"/>
        <v>0</v>
      </c>
      <c r="E306">
        <f t="shared" si="25"/>
        <v>1</v>
      </c>
      <c r="F306">
        <f t="shared" si="26"/>
        <v>0</v>
      </c>
      <c r="G306" t="s">
        <v>16</v>
      </c>
      <c r="H306">
        <f t="shared" si="27"/>
        <v>0</v>
      </c>
      <c r="I306">
        <f t="shared" si="28"/>
        <v>1</v>
      </c>
      <c r="J306">
        <f t="shared" si="29"/>
        <v>0</v>
      </c>
      <c r="K306">
        <v>54948.02</v>
      </c>
      <c r="L306">
        <v>6534</v>
      </c>
      <c r="M306">
        <v>0.183</v>
      </c>
      <c r="N306">
        <v>14</v>
      </c>
      <c r="O306">
        <v>94.5</v>
      </c>
      <c r="P306">
        <v>1.56</v>
      </c>
      <c r="Q306">
        <v>0</v>
      </c>
      <c r="R306">
        <v>4</v>
      </c>
      <c r="S306">
        <v>727957.48</v>
      </c>
      <c r="T306">
        <v>74805.23</v>
      </c>
    </row>
    <row r="307" spans="1:20">
      <c r="A307" t="s">
        <v>98</v>
      </c>
      <c r="B307" s="2">
        <v>45689</v>
      </c>
      <c r="C307" t="s">
        <v>24</v>
      </c>
      <c r="D307">
        <f t="shared" si="24"/>
        <v>0</v>
      </c>
      <c r="E307">
        <f t="shared" si="25"/>
        <v>1</v>
      </c>
      <c r="F307">
        <f t="shared" si="26"/>
        <v>0</v>
      </c>
      <c r="G307" t="s">
        <v>16</v>
      </c>
      <c r="H307">
        <f t="shared" si="27"/>
        <v>0</v>
      </c>
      <c r="I307">
        <f t="shared" si="28"/>
        <v>1</v>
      </c>
      <c r="J307">
        <f t="shared" si="29"/>
        <v>0</v>
      </c>
      <c r="K307">
        <v>46146.239999999998</v>
      </c>
      <c r="L307">
        <v>5804</v>
      </c>
      <c r="M307">
        <v>4.7E-2</v>
      </c>
      <c r="N307">
        <v>16</v>
      </c>
      <c r="O307">
        <v>86.9</v>
      </c>
      <c r="P307">
        <v>15.82</v>
      </c>
      <c r="Q307">
        <v>0</v>
      </c>
      <c r="R307">
        <v>3.8</v>
      </c>
      <c r="S307">
        <v>538376</v>
      </c>
      <c r="T307">
        <v>87605.62</v>
      </c>
    </row>
    <row r="308" spans="1:20">
      <c r="A308" t="s">
        <v>98</v>
      </c>
      <c r="B308" s="2">
        <v>45717</v>
      </c>
      <c r="C308" t="s">
        <v>24</v>
      </c>
      <c r="D308">
        <f t="shared" si="24"/>
        <v>0</v>
      </c>
      <c r="E308">
        <f t="shared" si="25"/>
        <v>1</v>
      </c>
      <c r="F308">
        <f t="shared" si="26"/>
        <v>0</v>
      </c>
      <c r="G308" t="s">
        <v>16</v>
      </c>
      <c r="H308">
        <f t="shared" si="27"/>
        <v>0</v>
      </c>
      <c r="I308">
        <f t="shared" si="28"/>
        <v>1</v>
      </c>
      <c r="J308">
        <f t="shared" si="29"/>
        <v>0</v>
      </c>
      <c r="K308">
        <v>22387.26</v>
      </c>
      <c r="L308">
        <v>6301</v>
      </c>
      <c r="M308">
        <v>0.14599999999999999</v>
      </c>
      <c r="N308">
        <v>14</v>
      </c>
      <c r="O308">
        <v>85.9</v>
      </c>
      <c r="P308">
        <v>1.17</v>
      </c>
      <c r="Q308">
        <v>1</v>
      </c>
      <c r="R308">
        <v>3.7</v>
      </c>
      <c r="S308">
        <v>665342.49</v>
      </c>
      <c r="T308">
        <v>93441.81</v>
      </c>
    </row>
    <row r="309" spans="1:20">
      <c r="A309" t="s">
        <v>98</v>
      </c>
      <c r="B309" s="2">
        <v>45748</v>
      </c>
      <c r="C309" t="s">
        <v>24</v>
      </c>
      <c r="D309">
        <f t="shared" si="24"/>
        <v>0</v>
      </c>
      <c r="E309">
        <f t="shared" si="25"/>
        <v>1</v>
      </c>
      <c r="F309">
        <f t="shared" si="26"/>
        <v>0</v>
      </c>
      <c r="G309" t="s">
        <v>16</v>
      </c>
      <c r="H309">
        <f t="shared" si="27"/>
        <v>0</v>
      </c>
      <c r="I309">
        <f t="shared" si="28"/>
        <v>1</v>
      </c>
      <c r="J309">
        <f t="shared" si="29"/>
        <v>0</v>
      </c>
      <c r="K309">
        <v>60684.05</v>
      </c>
      <c r="L309">
        <v>6399</v>
      </c>
      <c r="M309">
        <v>7.4999999999999997E-2</v>
      </c>
      <c r="N309">
        <v>16</v>
      </c>
      <c r="O309">
        <v>99</v>
      </c>
      <c r="P309">
        <v>3.82</v>
      </c>
      <c r="Q309">
        <v>0</v>
      </c>
      <c r="R309">
        <v>3.5</v>
      </c>
      <c r="S309">
        <v>651164.18000000005</v>
      </c>
      <c r="T309">
        <v>109466.5</v>
      </c>
    </row>
    <row r="310" spans="1:20">
      <c r="A310" t="s">
        <v>99</v>
      </c>
      <c r="B310" s="2">
        <v>45658</v>
      </c>
      <c r="C310" t="s">
        <v>24</v>
      </c>
      <c r="D310">
        <f t="shared" si="24"/>
        <v>0</v>
      </c>
      <c r="E310">
        <f t="shared" si="25"/>
        <v>1</v>
      </c>
      <c r="F310">
        <f t="shared" si="26"/>
        <v>0</v>
      </c>
      <c r="G310" t="s">
        <v>18</v>
      </c>
      <c r="H310">
        <f t="shared" si="27"/>
        <v>1</v>
      </c>
      <c r="I310">
        <f t="shared" si="28"/>
        <v>0</v>
      </c>
      <c r="J310">
        <f t="shared" si="29"/>
        <v>0</v>
      </c>
      <c r="K310">
        <v>48465.599999999999</v>
      </c>
      <c r="L310">
        <v>5759</v>
      </c>
      <c r="M310">
        <v>0.154</v>
      </c>
      <c r="N310">
        <v>13</v>
      </c>
      <c r="O310">
        <v>87.5</v>
      </c>
      <c r="P310">
        <v>4.1399999999999997</v>
      </c>
      <c r="Q310">
        <v>0</v>
      </c>
      <c r="R310">
        <v>4</v>
      </c>
      <c r="S310">
        <v>628538.30000000005</v>
      </c>
      <c r="T310">
        <v>112509.15</v>
      </c>
    </row>
    <row r="311" spans="1:20">
      <c r="A311" t="s">
        <v>99</v>
      </c>
      <c r="B311" s="2">
        <v>45689</v>
      </c>
      <c r="C311" t="s">
        <v>24</v>
      </c>
      <c r="D311">
        <f t="shared" si="24"/>
        <v>0</v>
      </c>
      <c r="E311">
        <f t="shared" si="25"/>
        <v>1</v>
      </c>
      <c r="F311">
        <f t="shared" si="26"/>
        <v>0</v>
      </c>
      <c r="G311" t="s">
        <v>18</v>
      </c>
      <c r="H311">
        <f t="shared" si="27"/>
        <v>1</v>
      </c>
      <c r="I311">
        <f t="shared" si="28"/>
        <v>0</v>
      </c>
      <c r="J311">
        <f t="shared" si="29"/>
        <v>0</v>
      </c>
      <c r="K311">
        <v>23702.38</v>
      </c>
      <c r="L311">
        <v>5285</v>
      </c>
      <c r="M311">
        <v>0.16700000000000001</v>
      </c>
      <c r="N311">
        <v>14</v>
      </c>
      <c r="O311">
        <v>79.7</v>
      </c>
      <c r="P311">
        <v>1.1000000000000001</v>
      </c>
      <c r="Q311">
        <v>0</v>
      </c>
      <c r="R311">
        <v>4.3</v>
      </c>
      <c r="S311">
        <v>536524.84</v>
      </c>
      <c r="T311">
        <v>92752.94</v>
      </c>
    </row>
    <row r="312" spans="1:20">
      <c r="A312" t="s">
        <v>99</v>
      </c>
      <c r="B312" s="2">
        <v>45717</v>
      </c>
      <c r="C312" t="s">
        <v>24</v>
      </c>
      <c r="D312">
        <f t="shared" si="24"/>
        <v>0</v>
      </c>
      <c r="E312">
        <f t="shared" si="25"/>
        <v>1</v>
      </c>
      <c r="F312">
        <f t="shared" si="26"/>
        <v>0</v>
      </c>
      <c r="G312" t="s">
        <v>18</v>
      </c>
      <c r="H312">
        <f t="shared" si="27"/>
        <v>1</v>
      </c>
      <c r="I312">
        <f t="shared" si="28"/>
        <v>0</v>
      </c>
      <c r="J312">
        <f t="shared" si="29"/>
        <v>0</v>
      </c>
      <c r="K312">
        <v>54322.94</v>
      </c>
      <c r="L312">
        <v>5434</v>
      </c>
      <c r="M312">
        <v>0.2</v>
      </c>
      <c r="N312">
        <v>13</v>
      </c>
      <c r="O312">
        <v>85.7</v>
      </c>
      <c r="P312">
        <v>10.6</v>
      </c>
      <c r="Q312">
        <v>0</v>
      </c>
      <c r="R312">
        <v>4.2</v>
      </c>
      <c r="S312">
        <v>621677.30000000005</v>
      </c>
      <c r="T312">
        <v>105192.52</v>
      </c>
    </row>
    <row r="313" spans="1:20">
      <c r="A313" t="s">
        <v>99</v>
      </c>
      <c r="B313" s="2">
        <v>45748</v>
      </c>
      <c r="C313" t="s">
        <v>24</v>
      </c>
      <c r="D313">
        <f t="shared" si="24"/>
        <v>0</v>
      </c>
      <c r="E313">
        <f t="shared" si="25"/>
        <v>1</v>
      </c>
      <c r="F313">
        <f t="shared" si="26"/>
        <v>0</v>
      </c>
      <c r="G313" t="s">
        <v>18</v>
      </c>
      <c r="H313">
        <f t="shared" si="27"/>
        <v>1</v>
      </c>
      <c r="I313">
        <f t="shared" si="28"/>
        <v>0</v>
      </c>
      <c r="J313">
        <f t="shared" si="29"/>
        <v>0</v>
      </c>
      <c r="K313">
        <v>86026.58</v>
      </c>
      <c r="L313">
        <v>7479</v>
      </c>
      <c r="M313">
        <v>0.14199999999999999</v>
      </c>
      <c r="N313">
        <v>20</v>
      </c>
      <c r="O313">
        <v>89</v>
      </c>
      <c r="P313">
        <v>0.9</v>
      </c>
      <c r="Q313">
        <v>0</v>
      </c>
      <c r="R313">
        <v>3.92</v>
      </c>
      <c r="S313">
        <v>771129.07</v>
      </c>
      <c r="T313">
        <v>116851.13</v>
      </c>
    </row>
    <row r="314" spans="1:20">
      <c r="A314" t="s">
        <v>100</v>
      </c>
      <c r="B314" s="2">
        <v>45658</v>
      </c>
      <c r="C314" t="s">
        <v>20</v>
      </c>
      <c r="D314">
        <f t="shared" si="24"/>
        <v>1</v>
      </c>
      <c r="E314">
        <f t="shared" si="25"/>
        <v>0</v>
      </c>
      <c r="F314">
        <f t="shared" si="26"/>
        <v>0</v>
      </c>
      <c r="G314" t="s">
        <v>16</v>
      </c>
      <c r="H314">
        <f t="shared" si="27"/>
        <v>0</v>
      </c>
      <c r="I314">
        <f t="shared" si="28"/>
        <v>1</v>
      </c>
      <c r="J314">
        <f t="shared" si="29"/>
        <v>0</v>
      </c>
      <c r="K314">
        <v>78967.520000000004</v>
      </c>
      <c r="L314">
        <v>6164</v>
      </c>
      <c r="M314">
        <v>2.1000000000000001E-2</v>
      </c>
      <c r="N314">
        <v>16</v>
      </c>
      <c r="O314">
        <v>85.5</v>
      </c>
      <c r="P314">
        <v>0.2</v>
      </c>
      <c r="Q314">
        <v>0</v>
      </c>
      <c r="R314">
        <v>3.4</v>
      </c>
      <c r="S314">
        <v>702052.47</v>
      </c>
      <c r="T314">
        <v>121732.51</v>
      </c>
    </row>
    <row r="315" spans="1:20">
      <c r="A315" t="s">
        <v>100</v>
      </c>
      <c r="B315" s="2">
        <v>45689</v>
      </c>
      <c r="C315" t="s">
        <v>20</v>
      </c>
      <c r="D315">
        <f t="shared" si="24"/>
        <v>1</v>
      </c>
      <c r="E315">
        <f t="shared" si="25"/>
        <v>0</v>
      </c>
      <c r="F315">
        <f t="shared" si="26"/>
        <v>0</v>
      </c>
      <c r="G315" t="s">
        <v>16</v>
      </c>
      <c r="H315">
        <f t="shared" si="27"/>
        <v>0</v>
      </c>
      <c r="I315">
        <f t="shared" si="28"/>
        <v>1</v>
      </c>
      <c r="J315">
        <f t="shared" si="29"/>
        <v>0</v>
      </c>
      <c r="K315">
        <v>46767.99</v>
      </c>
      <c r="L315">
        <v>7973</v>
      </c>
      <c r="M315">
        <v>0.183</v>
      </c>
      <c r="N315">
        <v>18</v>
      </c>
      <c r="O315">
        <v>94.8</v>
      </c>
      <c r="P315">
        <v>4.67</v>
      </c>
      <c r="Q315">
        <v>0</v>
      </c>
      <c r="R315">
        <v>3.92</v>
      </c>
      <c r="S315">
        <v>688368.46</v>
      </c>
      <c r="T315">
        <v>93588.42</v>
      </c>
    </row>
    <row r="316" spans="1:20">
      <c r="A316" t="s">
        <v>100</v>
      </c>
      <c r="B316" s="2">
        <v>45717</v>
      </c>
      <c r="C316" t="s">
        <v>20</v>
      </c>
      <c r="D316">
        <f t="shared" si="24"/>
        <v>1</v>
      </c>
      <c r="E316">
        <f t="shared" si="25"/>
        <v>0</v>
      </c>
      <c r="F316">
        <f t="shared" si="26"/>
        <v>0</v>
      </c>
      <c r="G316" t="s">
        <v>16</v>
      </c>
      <c r="H316">
        <f t="shared" si="27"/>
        <v>0</v>
      </c>
      <c r="I316">
        <f t="shared" si="28"/>
        <v>1</v>
      </c>
      <c r="J316">
        <f t="shared" si="29"/>
        <v>0</v>
      </c>
      <c r="K316">
        <v>62507.16</v>
      </c>
      <c r="L316">
        <v>6000</v>
      </c>
      <c r="M316">
        <v>9.0999999999999998E-2</v>
      </c>
      <c r="N316">
        <v>14</v>
      </c>
      <c r="O316">
        <v>98.2</v>
      </c>
      <c r="P316">
        <v>4.38</v>
      </c>
      <c r="Q316">
        <v>1</v>
      </c>
      <c r="R316">
        <v>3.9</v>
      </c>
      <c r="S316">
        <v>712375.77</v>
      </c>
      <c r="T316">
        <v>104171.53</v>
      </c>
    </row>
    <row r="317" spans="1:20">
      <c r="A317" t="s">
        <v>100</v>
      </c>
      <c r="B317" s="2">
        <v>45748</v>
      </c>
      <c r="C317" t="s">
        <v>20</v>
      </c>
      <c r="D317">
        <f t="shared" si="24"/>
        <v>1</v>
      </c>
      <c r="E317">
        <f t="shared" si="25"/>
        <v>0</v>
      </c>
      <c r="F317">
        <f t="shared" si="26"/>
        <v>0</v>
      </c>
      <c r="G317" t="s">
        <v>16</v>
      </c>
      <c r="H317">
        <f t="shared" si="27"/>
        <v>0</v>
      </c>
      <c r="I317">
        <f t="shared" si="28"/>
        <v>1</v>
      </c>
      <c r="J317">
        <f t="shared" si="29"/>
        <v>0</v>
      </c>
      <c r="K317">
        <v>66456.28</v>
      </c>
      <c r="L317">
        <v>9967</v>
      </c>
      <c r="M317">
        <v>0.108</v>
      </c>
      <c r="N317">
        <v>20</v>
      </c>
      <c r="O317">
        <v>94.7</v>
      </c>
      <c r="P317">
        <v>4.4800000000000004</v>
      </c>
      <c r="Q317">
        <v>0</v>
      </c>
      <c r="R317">
        <v>4.2</v>
      </c>
      <c r="S317">
        <v>844710.67</v>
      </c>
      <c r="T317">
        <v>137140.18</v>
      </c>
    </row>
    <row r="318" spans="1:20">
      <c r="A318" t="s">
        <v>101</v>
      </c>
      <c r="B318" s="2">
        <v>45658</v>
      </c>
      <c r="C318" t="s">
        <v>15</v>
      </c>
      <c r="D318">
        <f t="shared" si="24"/>
        <v>0</v>
      </c>
      <c r="E318">
        <f t="shared" si="25"/>
        <v>0</v>
      </c>
      <c r="F318">
        <f t="shared" si="26"/>
        <v>0</v>
      </c>
      <c r="G318" t="s">
        <v>16</v>
      </c>
      <c r="H318">
        <f t="shared" si="27"/>
        <v>0</v>
      </c>
      <c r="I318">
        <f t="shared" si="28"/>
        <v>1</v>
      </c>
      <c r="J318">
        <f t="shared" si="29"/>
        <v>0</v>
      </c>
      <c r="K318">
        <v>76614.320000000007</v>
      </c>
      <c r="L318">
        <v>5639</v>
      </c>
      <c r="M318">
        <v>0.17399999999999999</v>
      </c>
      <c r="N318">
        <v>15</v>
      </c>
      <c r="O318">
        <v>92.9</v>
      </c>
      <c r="P318">
        <v>1.02</v>
      </c>
      <c r="Q318">
        <v>1</v>
      </c>
      <c r="R318">
        <v>4</v>
      </c>
      <c r="S318">
        <v>620264.19999999995</v>
      </c>
      <c r="T318">
        <v>91365.64</v>
      </c>
    </row>
    <row r="319" spans="1:20">
      <c r="A319" t="s">
        <v>101</v>
      </c>
      <c r="B319" s="2">
        <v>45689</v>
      </c>
      <c r="C319" t="s">
        <v>15</v>
      </c>
      <c r="D319">
        <f t="shared" si="24"/>
        <v>0</v>
      </c>
      <c r="E319">
        <f t="shared" si="25"/>
        <v>0</v>
      </c>
      <c r="F319">
        <f t="shared" si="26"/>
        <v>0</v>
      </c>
      <c r="G319" t="s">
        <v>16</v>
      </c>
      <c r="H319">
        <f t="shared" si="27"/>
        <v>0</v>
      </c>
      <c r="I319">
        <f t="shared" si="28"/>
        <v>1</v>
      </c>
      <c r="J319">
        <f t="shared" si="29"/>
        <v>0</v>
      </c>
      <c r="K319">
        <v>24088.06</v>
      </c>
      <c r="L319">
        <v>3466</v>
      </c>
      <c r="M319">
        <v>0</v>
      </c>
      <c r="N319">
        <v>11</v>
      </c>
      <c r="O319">
        <v>88</v>
      </c>
      <c r="P319">
        <v>0.2</v>
      </c>
      <c r="Q319">
        <v>0</v>
      </c>
      <c r="R319">
        <v>3.8</v>
      </c>
      <c r="S319">
        <v>536845.42000000004</v>
      </c>
      <c r="T319">
        <v>107473.75</v>
      </c>
    </row>
    <row r="320" spans="1:20">
      <c r="A320" t="s">
        <v>101</v>
      </c>
      <c r="B320" s="2">
        <v>45717</v>
      </c>
      <c r="C320" t="s">
        <v>15</v>
      </c>
      <c r="D320">
        <f t="shared" si="24"/>
        <v>0</v>
      </c>
      <c r="E320">
        <f t="shared" si="25"/>
        <v>0</v>
      </c>
      <c r="F320">
        <f t="shared" si="26"/>
        <v>0</v>
      </c>
      <c r="G320" t="s">
        <v>16</v>
      </c>
      <c r="H320">
        <f t="shared" si="27"/>
        <v>0</v>
      </c>
      <c r="I320">
        <f t="shared" si="28"/>
        <v>1</v>
      </c>
      <c r="J320">
        <f t="shared" si="29"/>
        <v>0</v>
      </c>
      <c r="K320">
        <v>81902.58</v>
      </c>
      <c r="L320">
        <v>7775</v>
      </c>
      <c r="M320">
        <v>0.215</v>
      </c>
      <c r="N320">
        <v>20</v>
      </c>
      <c r="O320">
        <v>85.2</v>
      </c>
      <c r="P320">
        <v>4.8899999999999997</v>
      </c>
      <c r="Q320">
        <v>1</v>
      </c>
      <c r="R320">
        <v>4.2</v>
      </c>
      <c r="S320">
        <v>726776.22</v>
      </c>
      <c r="T320">
        <v>90804.49</v>
      </c>
    </row>
    <row r="321" spans="1:20">
      <c r="A321" t="s">
        <v>101</v>
      </c>
      <c r="B321" s="2">
        <v>45748</v>
      </c>
      <c r="C321" t="s">
        <v>15</v>
      </c>
      <c r="D321">
        <f t="shared" si="24"/>
        <v>0</v>
      </c>
      <c r="E321">
        <f t="shared" si="25"/>
        <v>0</v>
      </c>
      <c r="F321">
        <f t="shared" si="26"/>
        <v>0</v>
      </c>
      <c r="G321" t="s">
        <v>16</v>
      </c>
      <c r="H321">
        <f t="shared" si="27"/>
        <v>0</v>
      </c>
      <c r="I321">
        <f t="shared" si="28"/>
        <v>1</v>
      </c>
      <c r="J321">
        <f t="shared" si="29"/>
        <v>0</v>
      </c>
      <c r="K321">
        <v>40553.11</v>
      </c>
      <c r="L321">
        <v>5317</v>
      </c>
      <c r="M321">
        <v>0.16500000000000001</v>
      </c>
      <c r="N321">
        <v>17</v>
      </c>
      <c r="O321">
        <v>84.3</v>
      </c>
      <c r="P321">
        <v>11.82</v>
      </c>
      <c r="Q321">
        <v>0</v>
      </c>
      <c r="R321">
        <v>4.0999999999999996</v>
      </c>
      <c r="S321">
        <v>559660.84</v>
      </c>
      <c r="T321">
        <v>71443.61</v>
      </c>
    </row>
  </sheetData>
  <autoFilter ref="A1:T321" xr:uid="{4317B9A0-7A31-4822-ABFA-9A21B9B2888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BE30-6A9C-4B7D-A75E-034EF4125F38}">
  <dimension ref="A1:AP346"/>
  <sheetViews>
    <sheetView tabSelected="1" topLeftCell="B1" zoomScale="37" zoomScaleNormal="41" workbookViewId="0">
      <selection activeCell="R49" sqref="R49"/>
    </sheetView>
  </sheetViews>
  <sheetFormatPr defaultRowHeight="14"/>
  <cols>
    <col min="1" max="1" width="18.9140625" bestFit="1" customWidth="1"/>
    <col min="2" max="2" width="12.08203125" bestFit="1" customWidth="1"/>
    <col min="3" max="6" width="14.1640625" bestFit="1" customWidth="1"/>
    <col min="7" max="9" width="9" bestFit="1" customWidth="1"/>
    <col min="12" max="12" width="18.83203125" bestFit="1" customWidth="1"/>
    <col min="13" max="13" width="21.75" bestFit="1" customWidth="1"/>
    <col min="14" max="17" width="14.1640625" bestFit="1" customWidth="1"/>
    <col min="18" max="20" width="8.9140625" bestFit="1" customWidth="1"/>
    <col min="23" max="23" width="18.83203125" bestFit="1" customWidth="1"/>
    <col min="24" max="24" width="21.75" bestFit="1" customWidth="1"/>
    <col min="25" max="27" width="14.1640625" bestFit="1" customWidth="1"/>
    <col min="28" max="28" width="11.5" bestFit="1" customWidth="1"/>
    <col min="29" max="29" width="8.83203125" bestFit="1" customWidth="1"/>
    <col min="30" max="30" width="11.5" bestFit="1" customWidth="1"/>
    <col min="31" max="31" width="8.83203125" bestFit="1" customWidth="1"/>
    <col min="34" max="34" width="21" bestFit="1" customWidth="1"/>
    <col min="35" max="35" width="21.6640625" bestFit="1" customWidth="1"/>
    <col min="36" max="36" width="14.1640625" bestFit="1" customWidth="1"/>
    <col min="37" max="38" width="13" bestFit="1" customWidth="1"/>
    <col min="39" max="39" width="9.75" bestFit="1" customWidth="1"/>
    <col min="40" max="42" width="8.75" bestFit="1" customWidth="1"/>
  </cols>
  <sheetData>
    <row r="1" spans="1:39" ht="18">
      <c r="A1" s="8" t="s">
        <v>143</v>
      </c>
      <c r="L1" s="8" t="s">
        <v>145</v>
      </c>
      <c r="W1" s="8" t="s">
        <v>146</v>
      </c>
      <c r="AH1" s="8" t="s">
        <v>147</v>
      </c>
    </row>
    <row r="3" spans="1:39">
      <c r="A3" t="s">
        <v>115</v>
      </c>
      <c r="L3" t="s">
        <v>115</v>
      </c>
      <c r="W3" t="s">
        <v>115</v>
      </c>
      <c r="AH3" t="s">
        <v>115</v>
      </c>
    </row>
    <row r="4" spans="1:39" ht="14.5" thickBot="1"/>
    <row r="5" spans="1:39" ht="14.5">
      <c r="A5" s="7" t="s">
        <v>116</v>
      </c>
      <c r="B5" s="7"/>
      <c r="L5" s="7" t="s">
        <v>116</v>
      </c>
      <c r="M5" s="7"/>
      <c r="W5" s="7" t="s">
        <v>116</v>
      </c>
      <c r="X5" s="7"/>
      <c r="AH5" s="7" t="s">
        <v>116</v>
      </c>
      <c r="AI5" s="7"/>
    </row>
    <row r="6" spans="1:39">
      <c r="A6" s="4" t="s">
        <v>117</v>
      </c>
      <c r="B6" s="4">
        <v>0.40895561021322352</v>
      </c>
      <c r="L6" s="4" t="s">
        <v>117</v>
      </c>
      <c r="M6" s="4">
        <v>0.85807070804410468</v>
      </c>
      <c r="W6" s="4" t="s">
        <v>117</v>
      </c>
      <c r="X6" s="4">
        <v>9.1052199448449889E-2</v>
      </c>
      <c r="AH6" s="4" t="s">
        <v>117</v>
      </c>
      <c r="AI6" s="4">
        <v>0.11452081018053405</v>
      </c>
    </row>
    <row r="7" spans="1:39">
      <c r="A7" s="4" t="s">
        <v>118</v>
      </c>
      <c r="B7" s="4">
        <v>0.16724469112487</v>
      </c>
      <c r="L7" s="4" t="s">
        <v>118</v>
      </c>
      <c r="M7" s="4">
        <v>0.73628534000331114</v>
      </c>
      <c r="W7" s="4" t="s">
        <v>118</v>
      </c>
      <c r="X7" s="4">
        <v>8.2905030244002989E-3</v>
      </c>
      <c r="AH7" s="4" t="s">
        <v>118</v>
      </c>
      <c r="AI7" s="4">
        <v>1.3115015964405912E-2</v>
      </c>
    </row>
    <row r="8" spans="1:39">
      <c r="A8" s="4" t="s">
        <v>119</v>
      </c>
      <c r="B8" s="4">
        <v>0.16462596373847024</v>
      </c>
      <c r="L8" s="4" t="s">
        <v>119</v>
      </c>
      <c r="M8" s="4">
        <v>0.73545604861967373</v>
      </c>
      <c r="W8" s="4" t="s">
        <v>119</v>
      </c>
      <c r="X8" s="4">
        <v>5.171919700577658E-3</v>
      </c>
      <c r="AH8" s="4" t="s">
        <v>119</v>
      </c>
      <c r="AI8" s="4">
        <v>1.0011604064922909E-2</v>
      </c>
    </row>
    <row r="9" spans="1:39">
      <c r="A9" s="4" t="s">
        <v>120</v>
      </c>
      <c r="B9" s="4">
        <v>94846.03383215853</v>
      </c>
      <c r="L9" s="4" t="s">
        <v>120</v>
      </c>
      <c r="M9" s="4">
        <v>53373.736380790499</v>
      </c>
      <c r="W9" s="4" t="s">
        <v>120</v>
      </c>
      <c r="X9" s="4">
        <v>103502.94470614102</v>
      </c>
      <c r="AH9" s="4" t="s">
        <v>120</v>
      </c>
      <c r="AI9" s="4">
        <v>103250.87487318904</v>
      </c>
    </row>
    <row r="10" spans="1:39" ht="14.5" thickBot="1">
      <c r="A10" s="5" t="s">
        <v>121</v>
      </c>
      <c r="B10" s="5">
        <v>320</v>
      </c>
      <c r="L10" s="5" t="s">
        <v>121</v>
      </c>
      <c r="M10" s="5">
        <v>320</v>
      </c>
      <c r="W10" s="5" t="s">
        <v>121</v>
      </c>
      <c r="X10" s="5">
        <v>320</v>
      </c>
      <c r="AH10" s="5" t="s">
        <v>121</v>
      </c>
      <c r="AI10" s="5">
        <v>320</v>
      </c>
    </row>
    <row r="12" spans="1:39" ht="14.5" thickBot="1">
      <c r="A12" t="s">
        <v>122</v>
      </c>
      <c r="L12" t="s">
        <v>122</v>
      </c>
      <c r="W12" t="s">
        <v>122</v>
      </c>
      <c r="AH12" t="s">
        <v>122</v>
      </c>
    </row>
    <row r="13" spans="1:39" ht="14.5">
      <c r="A13" s="6"/>
      <c r="B13" s="6" t="s">
        <v>127</v>
      </c>
      <c r="C13" s="6" t="s">
        <v>128</v>
      </c>
      <c r="D13" s="6" t="s">
        <v>129</v>
      </c>
      <c r="E13" s="6" t="s">
        <v>130</v>
      </c>
      <c r="F13" s="6" t="s">
        <v>131</v>
      </c>
      <c r="L13" s="6"/>
      <c r="M13" s="6" t="s">
        <v>127</v>
      </c>
      <c r="N13" s="6" t="s">
        <v>128</v>
      </c>
      <c r="O13" s="6" t="s">
        <v>129</v>
      </c>
      <c r="P13" s="6" t="s">
        <v>130</v>
      </c>
      <c r="Q13" s="6" t="s">
        <v>131</v>
      </c>
      <c r="W13" s="6"/>
      <c r="X13" s="6" t="s">
        <v>127</v>
      </c>
      <c r="Y13" s="6" t="s">
        <v>128</v>
      </c>
      <c r="Z13" s="6" t="s">
        <v>129</v>
      </c>
      <c r="AA13" s="6" t="s">
        <v>130</v>
      </c>
      <c r="AB13" s="6" t="s">
        <v>131</v>
      </c>
      <c r="AH13" s="6"/>
      <c r="AI13" s="6" t="s">
        <v>127</v>
      </c>
      <c r="AJ13" s="6" t="s">
        <v>128</v>
      </c>
      <c r="AK13" s="6" t="s">
        <v>129</v>
      </c>
      <c r="AL13" s="6" t="s">
        <v>130</v>
      </c>
      <c r="AM13" s="6" t="s">
        <v>131</v>
      </c>
    </row>
    <row r="14" spans="1:39">
      <c r="A14" s="4" t="s">
        <v>123</v>
      </c>
      <c r="B14" s="4">
        <v>1</v>
      </c>
      <c r="C14" s="4">
        <v>574513714277.01416</v>
      </c>
      <c r="D14" s="4">
        <v>574513714277.01416</v>
      </c>
      <c r="E14" s="4">
        <v>63.864872683367629</v>
      </c>
      <c r="F14" s="4">
        <v>2.4800615101359619E-14</v>
      </c>
      <c r="L14" s="4" t="s">
        <v>123</v>
      </c>
      <c r="M14" s="4">
        <v>1</v>
      </c>
      <c r="N14" s="4">
        <v>2529264292982.4736</v>
      </c>
      <c r="O14" s="4">
        <v>2529264292982.4736</v>
      </c>
      <c r="P14" s="4">
        <v>887.84877611276033</v>
      </c>
      <c r="Q14" s="4">
        <v>4.7503615090053331E-94</v>
      </c>
      <c r="W14" s="4" t="s">
        <v>123</v>
      </c>
      <c r="X14" s="4">
        <v>1</v>
      </c>
      <c r="Y14" s="4">
        <v>28479275806.828613</v>
      </c>
      <c r="Z14" s="4">
        <v>28479275806.828613</v>
      </c>
      <c r="AA14" s="4">
        <v>2.658419597472264</v>
      </c>
      <c r="AB14" s="4">
        <v>0.10399304641903476</v>
      </c>
      <c r="AH14" s="4" t="s">
        <v>123</v>
      </c>
      <c r="AI14" s="4">
        <v>1</v>
      </c>
      <c r="AJ14" s="4">
        <v>45052291249.636719</v>
      </c>
      <c r="AK14" s="4">
        <v>45052291249.636719</v>
      </c>
      <c r="AL14" s="4">
        <v>4.2259991226400695</v>
      </c>
      <c r="AM14" s="4">
        <v>4.0625296630152581E-2</v>
      </c>
    </row>
    <row r="15" spans="1:39">
      <c r="A15" s="4" t="s">
        <v>124</v>
      </c>
      <c r="B15" s="4">
        <v>318</v>
      </c>
      <c r="C15" s="4">
        <v>2860654902513.7251</v>
      </c>
      <c r="D15" s="4">
        <v>8995770133.6909599</v>
      </c>
      <c r="E15" s="4"/>
      <c r="F15" s="4"/>
      <c r="L15" s="4" t="s">
        <v>124</v>
      </c>
      <c r="M15" s="4">
        <v>318</v>
      </c>
      <c r="N15" s="4">
        <v>905904323808.26587</v>
      </c>
      <c r="O15" s="4">
        <v>2848755735.246119</v>
      </c>
      <c r="P15" s="4"/>
      <c r="Q15" s="4"/>
      <c r="W15" s="4" t="s">
        <v>124</v>
      </c>
      <c r="X15" s="4">
        <v>318</v>
      </c>
      <c r="Y15" s="4">
        <v>3406689340983.9106</v>
      </c>
      <c r="Z15" s="4">
        <v>10712859562.842485</v>
      </c>
      <c r="AA15" s="4"/>
      <c r="AB15" s="4"/>
      <c r="AH15" s="4" t="s">
        <v>124</v>
      </c>
      <c r="AI15" s="4">
        <v>318</v>
      </c>
      <c r="AJ15" s="4">
        <v>3390116325541.1025</v>
      </c>
      <c r="AK15" s="4">
        <v>10660743162.078939</v>
      </c>
      <c r="AL15" s="4"/>
      <c r="AM15" s="4"/>
    </row>
    <row r="16" spans="1:39" ht="14.5" thickBot="1">
      <c r="A16" s="5" t="s">
        <v>125</v>
      </c>
      <c r="B16" s="5">
        <v>319</v>
      </c>
      <c r="C16" s="5">
        <v>3435168616790.7393</v>
      </c>
      <c r="D16" s="5"/>
      <c r="E16" s="5"/>
      <c r="F16" s="5"/>
      <c r="L16" s="5" t="s">
        <v>125</v>
      </c>
      <c r="M16" s="5">
        <v>319</v>
      </c>
      <c r="N16" s="5">
        <v>3435168616790.7393</v>
      </c>
      <c r="O16" s="5"/>
      <c r="P16" s="5"/>
      <c r="Q16" s="5"/>
      <c r="W16" s="5" t="s">
        <v>125</v>
      </c>
      <c r="X16" s="5">
        <v>319</v>
      </c>
      <c r="Y16" s="5">
        <v>3435168616790.7393</v>
      </c>
      <c r="Z16" s="5"/>
      <c r="AA16" s="5"/>
      <c r="AB16" s="5"/>
      <c r="AH16" s="5" t="s">
        <v>125</v>
      </c>
      <c r="AI16" s="5">
        <v>319</v>
      </c>
      <c r="AJ16" s="5">
        <v>3435168616790.7393</v>
      </c>
      <c r="AK16" s="5"/>
      <c r="AL16" s="5"/>
      <c r="AM16" s="5"/>
    </row>
    <row r="17" spans="1:42" ht="14.5" thickBot="1"/>
    <row r="18" spans="1:42" ht="14.5">
      <c r="A18" s="6"/>
      <c r="B18" s="6" t="s">
        <v>132</v>
      </c>
      <c r="C18" s="6" t="s">
        <v>120</v>
      </c>
      <c r="D18" s="6" t="s">
        <v>133</v>
      </c>
      <c r="E18" s="6" t="s">
        <v>134</v>
      </c>
      <c r="F18" s="6" t="s">
        <v>135</v>
      </c>
      <c r="G18" s="6" t="s">
        <v>136</v>
      </c>
      <c r="H18" s="6" t="s">
        <v>137</v>
      </c>
      <c r="I18" s="6" t="s">
        <v>138</v>
      </c>
      <c r="L18" s="6"/>
      <c r="M18" s="6" t="s">
        <v>132</v>
      </c>
      <c r="N18" s="6" t="s">
        <v>120</v>
      </c>
      <c r="O18" s="6" t="s">
        <v>133</v>
      </c>
      <c r="P18" s="6" t="s">
        <v>134</v>
      </c>
      <c r="Q18" s="6" t="s">
        <v>135</v>
      </c>
      <c r="R18" s="6" t="s">
        <v>136</v>
      </c>
      <c r="S18" s="6" t="s">
        <v>137</v>
      </c>
      <c r="T18" s="6" t="s">
        <v>138</v>
      </c>
      <c r="W18" s="6"/>
      <c r="X18" s="6" t="s">
        <v>132</v>
      </c>
      <c r="Y18" s="6" t="s">
        <v>120</v>
      </c>
      <c r="Z18" s="6" t="s">
        <v>133</v>
      </c>
      <c r="AA18" s="6" t="s">
        <v>134</v>
      </c>
      <c r="AB18" s="6" t="s">
        <v>135</v>
      </c>
      <c r="AC18" s="6" t="s">
        <v>136</v>
      </c>
      <c r="AD18" s="6" t="s">
        <v>137</v>
      </c>
      <c r="AE18" s="6" t="s">
        <v>138</v>
      </c>
      <c r="AH18" s="6"/>
      <c r="AI18" s="6" t="s">
        <v>132</v>
      </c>
      <c r="AJ18" s="6" t="s">
        <v>120</v>
      </c>
      <c r="AK18" s="6" t="s">
        <v>133</v>
      </c>
      <c r="AL18" s="6" t="s">
        <v>134</v>
      </c>
      <c r="AM18" s="6" t="s">
        <v>135</v>
      </c>
      <c r="AN18" s="6" t="s">
        <v>136</v>
      </c>
      <c r="AO18" s="6" t="s">
        <v>137</v>
      </c>
      <c r="AP18" s="6" t="s">
        <v>138</v>
      </c>
    </row>
    <row r="19" spans="1:42">
      <c r="A19" s="4" t="s">
        <v>126</v>
      </c>
      <c r="B19" s="4">
        <v>560777.34544943704</v>
      </c>
      <c r="C19" s="4">
        <v>15906.905953068674</v>
      </c>
      <c r="D19" s="4">
        <v>35.253703460870398</v>
      </c>
      <c r="E19" s="4">
        <v>6.952876876284135E-112</v>
      </c>
      <c r="F19" s="4">
        <v>529481.27234763221</v>
      </c>
      <c r="G19" s="4">
        <v>592073.41855124186</v>
      </c>
      <c r="H19" s="4">
        <v>529481.27234763221</v>
      </c>
      <c r="I19" s="4">
        <v>592073.41855124186</v>
      </c>
      <c r="L19" s="4" t="s">
        <v>126</v>
      </c>
      <c r="M19" s="4">
        <v>446410.58293395344</v>
      </c>
      <c r="N19" s="4">
        <v>8407.7382630059928</v>
      </c>
      <c r="O19" s="4">
        <v>53.095204556754318</v>
      </c>
      <c r="P19" s="4">
        <v>4.0862695711507226E-160</v>
      </c>
      <c r="Q19" s="4">
        <v>429868.76191129786</v>
      </c>
      <c r="R19" s="4">
        <v>462952.40395660902</v>
      </c>
      <c r="S19" s="4">
        <v>429868.76191129786</v>
      </c>
      <c r="T19" s="4">
        <v>462952.40395660902</v>
      </c>
      <c r="W19" s="4" t="s">
        <v>126</v>
      </c>
      <c r="X19" s="4">
        <v>697835.62958654074</v>
      </c>
      <c r="Y19" s="4">
        <v>12035.418765239492</v>
      </c>
      <c r="Z19" s="4">
        <v>57.981832057395351</v>
      </c>
      <c r="AA19" s="4">
        <v>3.8725943752004609E-171</v>
      </c>
      <c r="AB19" s="4">
        <v>674156.52149354888</v>
      </c>
      <c r="AC19" s="4">
        <v>721514.73767953261</v>
      </c>
      <c r="AD19" s="4">
        <v>674156.52149354888</v>
      </c>
      <c r="AE19" s="4">
        <v>721514.73767953261</v>
      </c>
      <c r="AH19" s="4" t="s">
        <v>126</v>
      </c>
      <c r="AI19" s="4">
        <v>484814.25658676017</v>
      </c>
      <c r="AJ19" s="4">
        <v>95428.021317590741</v>
      </c>
      <c r="AK19" s="4">
        <v>5.0804182030901215</v>
      </c>
      <c r="AL19" s="4">
        <v>6.4331365016162449E-7</v>
      </c>
      <c r="AM19" s="4">
        <v>297064.21016495663</v>
      </c>
      <c r="AN19" s="4">
        <v>672564.3030085637</v>
      </c>
      <c r="AO19" s="4">
        <v>297064.21016495663</v>
      </c>
      <c r="AP19" s="4">
        <v>672564.3030085637</v>
      </c>
    </row>
    <row r="20" spans="1:42" ht="14.5" thickBot="1">
      <c r="A20" s="5" t="s">
        <v>4</v>
      </c>
      <c r="B20" s="5">
        <v>2.1295753275898281</v>
      </c>
      <c r="C20" s="5">
        <v>0.26647838106932348</v>
      </c>
      <c r="D20" s="5">
        <v>7.991550080138869</v>
      </c>
      <c r="E20" s="5">
        <v>2.4800615101360068E-14</v>
      </c>
      <c r="F20" s="5">
        <v>1.6052919176921738</v>
      </c>
      <c r="G20" s="5">
        <v>2.6538587374874822</v>
      </c>
      <c r="H20" s="5">
        <v>1.6052919176921738</v>
      </c>
      <c r="I20" s="5">
        <v>2.6538587374874822</v>
      </c>
      <c r="L20" s="5" t="s">
        <v>5</v>
      </c>
      <c r="M20" s="5">
        <v>35.678031072640458</v>
      </c>
      <c r="N20" s="5">
        <v>1.1973782890340821</v>
      </c>
      <c r="O20" s="5">
        <v>29.796791372776362</v>
      </c>
      <c r="P20" s="5">
        <v>4.7503615090054677E-94</v>
      </c>
      <c r="Q20" s="5">
        <v>33.322246825554025</v>
      </c>
      <c r="R20" s="5">
        <v>38.033815319726891</v>
      </c>
      <c r="S20" s="5">
        <v>33.322246825554025</v>
      </c>
      <c r="T20" s="5">
        <v>38.033815319726891</v>
      </c>
      <c r="W20" s="5" t="s">
        <v>6</v>
      </c>
      <c r="X20" s="5">
        <v>-138730.45471638071</v>
      </c>
      <c r="Y20" s="5">
        <v>85086.379579668472</v>
      </c>
      <c r="Z20" s="5">
        <v>-1.6304660675623643</v>
      </c>
      <c r="AA20" s="5">
        <v>0.10399304641903374</v>
      </c>
      <c r="AB20" s="5">
        <v>-306133.81795682968</v>
      </c>
      <c r="AC20" s="5">
        <v>28672.908524068218</v>
      </c>
      <c r="AD20" s="5">
        <v>-306133.81795682968</v>
      </c>
      <c r="AE20" s="5">
        <v>28672.908524068218</v>
      </c>
      <c r="AH20" s="5" t="s">
        <v>8</v>
      </c>
      <c r="AI20" s="5">
        <v>2217.8319409989194</v>
      </c>
      <c r="AJ20" s="5">
        <v>1078.8571212403435</v>
      </c>
      <c r="AK20" s="5">
        <v>2.0557235034506851</v>
      </c>
      <c r="AL20" s="5">
        <v>4.0625296630164572E-2</v>
      </c>
      <c r="AM20" s="5">
        <v>95.232396351023908</v>
      </c>
      <c r="AN20" s="5">
        <v>4340.4314856468154</v>
      </c>
      <c r="AO20" s="5">
        <v>95.232396351023908</v>
      </c>
      <c r="AP20" s="5">
        <v>4340.4314856468154</v>
      </c>
    </row>
    <row r="24" spans="1:42">
      <c r="A24" t="s">
        <v>139</v>
      </c>
      <c r="L24" t="s">
        <v>139</v>
      </c>
      <c r="W24" t="s">
        <v>139</v>
      </c>
      <c r="AH24" t="s">
        <v>139</v>
      </c>
    </row>
    <row r="25" spans="1:42" ht="14.5" thickBot="1"/>
    <row r="26" spans="1:42" ht="14.5">
      <c r="A26" s="6" t="s">
        <v>140</v>
      </c>
      <c r="B26" s="6" t="s">
        <v>141</v>
      </c>
      <c r="C26" s="6" t="s">
        <v>142</v>
      </c>
      <c r="L26" s="6" t="s">
        <v>140</v>
      </c>
      <c r="M26" s="6" t="s">
        <v>144</v>
      </c>
      <c r="N26" s="6" t="s">
        <v>142</v>
      </c>
      <c r="W26" s="6" t="s">
        <v>140</v>
      </c>
      <c r="X26" s="6" t="s">
        <v>144</v>
      </c>
      <c r="Y26" s="6" t="s">
        <v>142</v>
      </c>
      <c r="AH26" s="6" t="s">
        <v>140</v>
      </c>
      <c r="AI26" s="6" t="s">
        <v>144</v>
      </c>
      <c r="AJ26" s="6" t="s">
        <v>142</v>
      </c>
    </row>
    <row r="27" spans="1:42">
      <c r="A27" s="4">
        <v>1</v>
      </c>
      <c r="B27" s="4">
        <v>710676.25743644347</v>
      </c>
      <c r="C27" s="4">
        <v>-51843.637436443474</v>
      </c>
      <c r="L27" s="4">
        <v>1</v>
      </c>
      <c r="M27" s="4">
        <v>742609.59689901455</v>
      </c>
      <c r="N27" s="4">
        <v>-83776.976899014553</v>
      </c>
      <c r="W27" s="4">
        <v>1</v>
      </c>
      <c r="X27" s="4">
        <v>692008.9504884528</v>
      </c>
      <c r="Y27" s="4">
        <v>-33176.330488452804</v>
      </c>
      <c r="AH27" s="4">
        <v>1</v>
      </c>
      <c r="AI27" s="4">
        <v>651151.65216167911</v>
      </c>
      <c r="AJ27" s="4">
        <v>7680.9678383208811</v>
      </c>
    </row>
    <row r="28" spans="1:42">
      <c r="A28" s="4">
        <v>2</v>
      </c>
      <c r="B28" s="4">
        <v>654112.13865375798</v>
      </c>
      <c r="C28" s="4">
        <v>-19676.138653757982</v>
      </c>
      <c r="L28" s="4">
        <v>2</v>
      </c>
      <c r="M28" s="4">
        <v>749210.03264745302</v>
      </c>
      <c r="N28" s="4">
        <v>-114774.03264745302</v>
      </c>
      <c r="W28" s="4">
        <v>2</v>
      </c>
      <c r="X28" s="4">
        <v>674528.91319418873</v>
      </c>
      <c r="Y28" s="4">
        <v>-40092.913194188732</v>
      </c>
      <c r="AH28" s="4">
        <v>2</v>
      </c>
      <c r="AI28" s="4">
        <v>671999.27240706899</v>
      </c>
      <c r="AJ28" s="4">
        <v>-37563.272407068987</v>
      </c>
    </row>
    <row r="29" spans="1:42">
      <c r="A29" s="4">
        <v>3</v>
      </c>
      <c r="B29" s="4">
        <v>688385.22583544278</v>
      </c>
      <c r="C29" s="4">
        <v>-9663.16583544272</v>
      </c>
      <c r="L29" s="4">
        <v>3</v>
      </c>
      <c r="M29" s="4">
        <v>771544.480098926</v>
      </c>
      <c r="N29" s="4">
        <v>-92822.420098925941</v>
      </c>
      <c r="W29" s="4">
        <v>3</v>
      </c>
      <c r="X29" s="4">
        <v>679384.47910926212</v>
      </c>
      <c r="Y29" s="4">
        <v>-662.41910926206037</v>
      </c>
      <c r="AH29" s="4">
        <v>3</v>
      </c>
      <c r="AI29" s="4">
        <v>679983.46739466512</v>
      </c>
      <c r="AJ29" s="4">
        <v>-1261.4073946650606</v>
      </c>
    </row>
    <row r="30" spans="1:42">
      <c r="A30" s="4">
        <v>4</v>
      </c>
      <c r="B30" s="4">
        <v>681857.82190734067</v>
      </c>
      <c r="C30" s="4">
        <v>-22937.521907340619</v>
      </c>
      <c r="L30" s="4">
        <v>4</v>
      </c>
      <c r="M30" s="4">
        <v>782890.09398002562</v>
      </c>
      <c r="N30" s="4">
        <v>-123969.79398002557</v>
      </c>
      <c r="W30" s="4">
        <v>4</v>
      </c>
      <c r="X30" s="4">
        <v>678135.90501681471</v>
      </c>
      <c r="Y30" s="4">
        <v>-19215.605016814661</v>
      </c>
      <c r="AH30" s="4">
        <v>4</v>
      </c>
      <c r="AI30" s="4">
        <v>677543.85225956631</v>
      </c>
      <c r="AJ30" s="4">
        <v>-18623.552259566262</v>
      </c>
    </row>
    <row r="31" spans="1:42">
      <c r="A31" s="4">
        <v>5</v>
      </c>
      <c r="B31" s="4">
        <v>663875.7091369254</v>
      </c>
      <c r="C31" s="4">
        <v>77465.730863074539</v>
      </c>
      <c r="L31" s="4">
        <v>5</v>
      </c>
      <c r="M31" s="4">
        <v>786957.38952230662</v>
      </c>
      <c r="N31" s="4">
        <v>-45615.949522306677</v>
      </c>
      <c r="W31" s="4">
        <v>5</v>
      </c>
      <c r="X31" s="4">
        <v>665788.89454705676</v>
      </c>
      <c r="Y31" s="4">
        <v>75552.545452943188</v>
      </c>
      <c r="AH31" s="4">
        <v>5</v>
      </c>
      <c r="AI31" s="4">
        <v>701274.65402825468</v>
      </c>
      <c r="AJ31" s="4">
        <v>40066.785971745267</v>
      </c>
    </row>
    <row r="32" spans="1:42">
      <c r="A32" s="4">
        <v>6</v>
      </c>
      <c r="B32" s="4">
        <v>698797.69921668014</v>
      </c>
      <c r="C32" s="4">
        <v>63037.640783319832</v>
      </c>
      <c r="L32" s="4">
        <v>6</v>
      </c>
      <c r="M32" s="4">
        <v>795769.86319724878</v>
      </c>
      <c r="N32" s="4">
        <v>-33934.523197248811</v>
      </c>
      <c r="W32" s="4">
        <v>6</v>
      </c>
      <c r="X32" s="4">
        <v>682297.81865830615</v>
      </c>
      <c r="Y32" s="4">
        <v>79537.52134169382</v>
      </c>
      <c r="AH32" s="4">
        <v>6</v>
      </c>
      <c r="AI32" s="4">
        <v>671555.70601886918</v>
      </c>
      <c r="AJ32" s="4">
        <v>90279.633981130784</v>
      </c>
    </row>
    <row r="33" spans="1:36">
      <c r="A33" s="4">
        <v>7</v>
      </c>
      <c r="B33" s="4">
        <v>659192.36837224313</v>
      </c>
      <c r="C33" s="4">
        <v>147423.17162775691</v>
      </c>
      <c r="L33" s="4">
        <v>7</v>
      </c>
      <c r="M33" s="4">
        <v>825168.56080110453</v>
      </c>
      <c r="N33" s="4">
        <v>-18553.020801104489</v>
      </c>
      <c r="W33" s="4">
        <v>7</v>
      </c>
      <c r="X33" s="4">
        <v>680910.51411114226</v>
      </c>
      <c r="Y33" s="4">
        <v>125705.02588885778</v>
      </c>
      <c r="AH33" s="4">
        <v>7</v>
      </c>
      <c r="AI33" s="4">
        <v>673773.53795986809</v>
      </c>
      <c r="AJ33" s="4">
        <v>132842.00204013195</v>
      </c>
    </row>
    <row r="34" spans="1:36">
      <c r="A34" s="4">
        <v>8</v>
      </c>
      <c r="B34" s="4">
        <v>705904.752253199</v>
      </c>
      <c r="C34" s="4">
        <v>144259.50774680101</v>
      </c>
      <c r="L34" s="4">
        <v>8</v>
      </c>
      <c r="M34" s="4">
        <v>752064.27513326425</v>
      </c>
      <c r="N34" s="4">
        <v>98099.984866735758</v>
      </c>
      <c r="W34" s="4">
        <v>8</v>
      </c>
      <c r="X34" s="4">
        <v>680216.86183756043</v>
      </c>
      <c r="Y34" s="4">
        <v>169947.39816243958</v>
      </c>
      <c r="AH34" s="4">
        <v>8</v>
      </c>
      <c r="AI34" s="4">
        <v>696838.99014625687</v>
      </c>
      <c r="AJ34" s="4">
        <v>153325.26985374314</v>
      </c>
    </row>
    <row r="35" spans="1:36">
      <c r="A35" s="4">
        <v>9</v>
      </c>
      <c r="B35" s="4">
        <v>713763.60926761688</v>
      </c>
      <c r="C35" s="4">
        <v>216818.09073238308</v>
      </c>
      <c r="L35" s="4">
        <v>9</v>
      </c>
      <c r="M35" s="4">
        <v>838119.68608047301</v>
      </c>
      <c r="N35" s="4">
        <v>92462.013919526944</v>
      </c>
      <c r="W35" s="4">
        <v>9</v>
      </c>
      <c r="X35" s="4">
        <v>668008.58182251884</v>
      </c>
      <c r="Y35" s="4">
        <v>262573.11817748111</v>
      </c>
      <c r="AH35" s="4">
        <v>9</v>
      </c>
      <c r="AI35" s="4">
        <v>681314.16655926441</v>
      </c>
      <c r="AJ35" s="4">
        <v>249267.53344073554</v>
      </c>
    </row>
    <row r="36" spans="1:36">
      <c r="A36" s="4">
        <v>10</v>
      </c>
      <c r="B36" s="4">
        <v>705872.63825725892</v>
      </c>
      <c r="C36" s="4">
        <v>73138.301742741023</v>
      </c>
      <c r="L36" s="4">
        <v>10</v>
      </c>
      <c r="M36" s="4">
        <v>783889.07885005954</v>
      </c>
      <c r="N36" s="4">
        <v>-4878.1388500595931</v>
      </c>
      <c r="W36" s="4">
        <v>10</v>
      </c>
      <c r="X36" s="4">
        <v>667314.92954893701</v>
      </c>
      <c r="Y36" s="4">
        <v>111696.01045106293</v>
      </c>
      <c r="AH36" s="4">
        <v>10</v>
      </c>
      <c r="AI36" s="4">
        <v>673329.97157166828</v>
      </c>
      <c r="AJ36" s="4">
        <v>105680.96842833166</v>
      </c>
    </row>
    <row r="37" spans="1:36">
      <c r="A37" s="4">
        <v>11</v>
      </c>
      <c r="B37" s="4">
        <v>633790.28276667313</v>
      </c>
      <c r="C37" s="4">
        <v>89270.477233326877</v>
      </c>
      <c r="L37" s="4">
        <v>11</v>
      </c>
      <c r="M37" s="4">
        <v>773649.48393221176</v>
      </c>
      <c r="N37" s="4">
        <v>-50588.723932211753</v>
      </c>
      <c r="W37" s="4">
        <v>11</v>
      </c>
      <c r="X37" s="4">
        <v>668286.04273195169</v>
      </c>
      <c r="Y37" s="4">
        <v>54774.71726804832</v>
      </c>
      <c r="AH37" s="4">
        <v>11</v>
      </c>
      <c r="AI37" s="4">
        <v>680648.81697696471</v>
      </c>
      <c r="AJ37" s="4">
        <v>42411.943023035303</v>
      </c>
    </row>
    <row r="38" spans="1:36">
      <c r="A38" s="4">
        <v>12</v>
      </c>
      <c r="B38" s="4">
        <v>705545.62066995422</v>
      </c>
      <c r="C38" s="4">
        <v>205246.31933004572</v>
      </c>
      <c r="L38" s="4">
        <v>12</v>
      </c>
      <c r="M38" s="4">
        <v>847074.87187970581</v>
      </c>
      <c r="N38" s="4">
        <v>63717.068120294134</v>
      </c>
      <c r="W38" s="4">
        <v>12</v>
      </c>
      <c r="X38" s="4">
        <v>697558.16867710801</v>
      </c>
      <c r="Y38" s="4">
        <v>213233.77132289193</v>
      </c>
      <c r="AH38" s="4">
        <v>12</v>
      </c>
      <c r="AI38" s="4">
        <v>673995.32115396799</v>
      </c>
      <c r="AJ38" s="4">
        <v>236796.61884603195</v>
      </c>
    </row>
    <row r="39" spans="1:36">
      <c r="A39" s="4">
        <v>13</v>
      </c>
      <c r="B39" s="4">
        <v>713741.03576914431</v>
      </c>
      <c r="C39" s="4">
        <v>208427.56423085567</v>
      </c>
      <c r="L39" s="4">
        <v>13</v>
      </c>
      <c r="M39" s="4">
        <v>902197.42988693528</v>
      </c>
      <c r="N39" s="4">
        <v>19971.170113064698</v>
      </c>
      <c r="W39" s="4">
        <v>13</v>
      </c>
      <c r="X39" s="4">
        <v>681742.89683944057</v>
      </c>
      <c r="Y39" s="4">
        <v>240425.70316055941</v>
      </c>
      <c r="AH39" s="4">
        <v>13</v>
      </c>
      <c r="AI39" s="4">
        <v>666011.12616637186</v>
      </c>
      <c r="AJ39" s="4">
        <v>256157.47383362812</v>
      </c>
    </row>
    <row r="40" spans="1:36">
      <c r="A40" s="4">
        <v>14</v>
      </c>
      <c r="B40" s="4">
        <v>679430.51065320056</v>
      </c>
      <c r="C40" s="4">
        <v>47175.769346799469</v>
      </c>
      <c r="L40" s="4">
        <v>14</v>
      </c>
      <c r="M40" s="4">
        <v>805117.50733828056</v>
      </c>
      <c r="N40" s="4">
        <v>-78511.227338280529</v>
      </c>
      <c r="W40" s="4">
        <v>14</v>
      </c>
      <c r="X40" s="4">
        <v>677580.98319794913</v>
      </c>
      <c r="Y40" s="4">
        <v>49025.2968020509</v>
      </c>
      <c r="AH40" s="4">
        <v>14</v>
      </c>
      <c r="AI40" s="4">
        <v>673108.1883775685</v>
      </c>
      <c r="AJ40" s="4">
        <v>53498.09162243153</v>
      </c>
    </row>
    <row r="41" spans="1:36">
      <c r="A41" s="4">
        <v>15</v>
      </c>
      <c r="B41" s="4">
        <v>688359.15983343311</v>
      </c>
      <c r="C41" s="4">
        <v>58141.930166566861</v>
      </c>
      <c r="L41" s="4">
        <v>15</v>
      </c>
      <c r="M41" s="4">
        <v>763766.66932509025</v>
      </c>
      <c r="N41" s="4">
        <v>-17265.579325090279</v>
      </c>
      <c r="W41" s="4">
        <v>15</v>
      </c>
      <c r="X41" s="4">
        <v>666205.08591120597</v>
      </c>
      <c r="Y41" s="4">
        <v>80296.004088793998</v>
      </c>
      <c r="AH41" s="4">
        <v>15</v>
      </c>
      <c r="AI41" s="4">
        <v>681757.73294746422</v>
      </c>
      <c r="AJ41" s="4">
        <v>64743.35705253575</v>
      </c>
    </row>
    <row r="42" spans="1:36">
      <c r="A42" s="4">
        <v>16</v>
      </c>
      <c r="B42" s="4">
        <v>721146.52749207162</v>
      </c>
      <c r="C42" s="4">
        <v>112870.4925079284</v>
      </c>
      <c r="L42" s="4">
        <v>16</v>
      </c>
      <c r="M42" s="4">
        <v>836728.24286863999</v>
      </c>
      <c r="N42" s="4">
        <v>-2711.2228686399758</v>
      </c>
      <c r="W42" s="4">
        <v>16</v>
      </c>
      <c r="X42" s="4">
        <v>697003.24685824243</v>
      </c>
      <c r="Y42" s="4">
        <v>137013.77314175759</v>
      </c>
      <c r="AH42" s="4">
        <v>16</v>
      </c>
      <c r="AI42" s="4">
        <v>654478.40007317753</v>
      </c>
      <c r="AJ42" s="4">
        <v>179538.61992682249</v>
      </c>
    </row>
    <row r="43" spans="1:36">
      <c r="A43" s="4">
        <v>17</v>
      </c>
      <c r="B43" s="4">
        <v>664709.60824370314</v>
      </c>
      <c r="C43" s="4">
        <v>1442.911756296875</v>
      </c>
      <c r="L43" s="4">
        <v>17</v>
      </c>
      <c r="M43" s="4">
        <v>698190.44821357715</v>
      </c>
      <c r="N43" s="4">
        <v>-32037.928213577135</v>
      </c>
      <c r="W43" s="4">
        <v>17</v>
      </c>
      <c r="X43" s="4">
        <v>697141.9773129588</v>
      </c>
      <c r="Y43" s="4">
        <v>-30989.457312958781</v>
      </c>
      <c r="AH43" s="4">
        <v>17</v>
      </c>
      <c r="AI43" s="4">
        <v>679318.11781236541</v>
      </c>
      <c r="AJ43" s="4">
        <v>-13165.597812365391</v>
      </c>
    </row>
    <row r="44" spans="1:36">
      <c r="A44" s="4">
        <v>18</v>
      </c>
      <c r="B44" s="4">
        <v>686673.36670835968</v>
      </c>
      <c r="C44" s="4">
        <v>-113518.17670835974</v>
      </c>
      <c r="L44" s="4">
        <v>18</v>
      </c>
      <c r="M44" s="4">
        <v>598506.02939661965</v>
      </c>
      <c r="N44" s="4">
        <v>-25350.839396619704</v>
      </c>
      <c r="W44" s="4">
        <v>18</v>
      </c>
      <c r="X44" s="4">
        <v>681326.70547529147</v>
      </c>
      <c r="Y44" s="4">
        <v>-108171.51547529153</v>
      </c>
      <c r="AH44" s="4">
        <v>18</v>
      </c>
      <c r="AI44" s="4">
        <v>679096.33461826551</v>
      </c>
      <c r="AJ44" s="4">
        <v>-105941.14461826556</v>
      </c>
    </row>
    <row r="45" spans="1:36">
      <c r="A45" s="4">
        <v>19</v>
      </c>
      <c r="B45" s="4">
        <v>728654.1536477101</v>
      </c>
      <c r="C45" s="4">
        <v>-62080.95364771015</v>
      </c>
      <c r="L45" s="4">
        <v>19</v>
      </c>
      <c r="M45" s="4">
        <v>643995.51901423628</v>
      </c>
      <c r="N45" s="4">
        <v>22577.680985763669</v>
      </c>
      <c r="W45" s="4">
        <v>19</v>
      </c>
      <c r="X45" s="4">
        <v>697835.62958654074</v>
      </c>
      <c r="Y45" s="4">
        <v>-31262.429586540791</v>
      </c>
      <c r="AH45" s="4">
        <v>19</v>
      </c>
      <c r="AI45" s="4">
        <v>693512.24223475845</v>
      </c>
      <c r="AJ45" s="4">
        <v>-26939.042234758497</v>
      </c>
    </row>
    <row r="46" spans="1:36">
      <c r="A46" s="4">
        <v>20</v>
      </c>
      <c r="B46" s="4">
        <v>649031.05710514181</v>
      </c>
      <c r="C46" s="4">
        <v>-57411.107105141855</v>
      </c>
      <c r="L46" s="4">
        <v>20</v>
      </c>
      <c r="M46" s="4">
        <v>619984.20410234923</v>
      </c>
      <c r="N46" s="4">
        <v>-28364.254102349281</v>
      </c>
      <c r="W46" s="4">
        <v>20</v>
      </c>
      <c r="X46" s="4">
        <v>675916.21774135262</v>
      </c>
      <c r="Y46" s="4">
        <v>-84296.267741352669</v>
      </c>
      <c r="AH46" s="4">
        <v>20</v>
      </c>
      <c r="AI46" s="4">
        <v>680648.81697696471</v>
      </c>
      <c r="AJ46" s="4">
        <v>-89028.866976964753</v>
      </c>
    </row>
    <row r="47" spans="1:36">
      <c r="A47" s="4">
        <v>21</v>
      </c>
      <c r="B47" s="4">
        <v>625423.33037484554</v>
      </c>
      <c r="C47" s="4">
        <v>-209701.51037484553</v>
      </c>
      <c r="L47" s="4">
        <v>21</v>
      </c>
      <c r="M47" s="4">
        <v>547093.98662094481</v>
      </c>
      <c r="N47" s="4">
        <v>-131372.1666209448</v>
      </c>
      <c r="W47" s="4">
        <v>21</v>
      </c>
      <c r="X47" s="4">
        <v>665788.89454705676</v>
      </c>
      <c r="Y47" s="4">
        <v>-250067.07454705675</v>
      </c>
      <c r="AH47" s="4">
        <v>21</v>
      </c>
      <c r="AI47" s="4">
        <v>672886.40518346848</v>
      </c>
      <c r="AJ47" s="4">
        <v>-257164.58518346847</v>
      </c>
    </row>
    <row r="48" spans="1:36">
      <c r="A48" s="4">
        <v>22</v>
      </c>
      <c r="B48" s="4">
        <v>632158.32530588121</v>
      </c>
      <c r="C48" s="4">
        <v>-140253.19530588121</v>
      </c>
      <c r="L48" s="4">
        <v>22</v>
      </c>
      <c r="M48" s="4">
        <v>522083.68683902384</v>
      </c>
      <c r="N48" s="4">
        <v>-30178.556839023833</v>
      </c>
      <c r="W48" s="4">
        <v>22</v>
      </c>
      <c r="X48" s="4">
        <v>673419.06955645769</v>
      </c>
      <c r="Y48" s="4">
        <v>-181513.93955645768</v>
      </c>
      <c r="AH48" s="4">
        <v>22</v>
      </c>
      <c r="AI48" s="4">
        <v>681092.38336516451</v>
      </c>
      <c r="AJ48" s="4">
        <v>-189187.25336516451</v>
      </c>
    </row>
    <row r="49" spans="1:36">
      <c r="A49" s="4">
        <v>23</v>
      </c>
      <c r="B49" s="4">
        <v>650788.89376354753</v>
      </c>
      <c r="C49" s="4">
        <v>-94859.493763547507</v>
      </c>
      <c r="L49" s="4">
        <v>23</v>
      </c>
      <c r="M49" s="4">
        <v>566431.47946231591</v>
      </c>
      <c r="N49" s="4">
        <v>-10502.079462315887</v>
      </c>
      <c r="W49" s="4">
        <v>23</v>
      </c>
      <c r="X49" s="4">
        <v>675638.75683191977</v>
      </c>
      <c r="Y49" s="4">
        <v>-119709.35683191975</v>
      </c>
      <c r="AH49" s="4">
        <v>23</v>
      </c>
      <c r="AI49" s="4">
        <v>666676.47574867157</v>
      </c>
      <c r="AJ49" s="4">
        <v>-110747.07574867154</v>
      </c>
    </row>
    <row r="50" spans="1:36">
      <c r="A50" s="4">
        <v>24</v>
      </c>
      <c r="B50" s="4">
        <v>692939.7059970526</v>
      </c>
      <c r="C50" s="4">
        <v>-127128.71599705261</v>
      </c>
      <c r="L50" s="4">
        <v>24</v>
      </c>
      <c r="M50" s="4">
        <v>539637.27812676295</v>
      </c>
      <c r="N50" s="4">
        <v>26173.711873237044</v>
      </c>
      <c r="W50" s="4">
        <v>24</v>
      </c>
      <c r="X50" s="4">
        <v>667869.85136780248</v>
      </c>
      <c r="Y50" s="4">
        <v>-102058.86136780248</v>
      </c>
      <c r="AH50" s="4">
        <v>24</v>
      </c>
      <c r="AI50" s="4">
        <v>689076.57835276064</v>
      </c>
      <c r="AJ50" s="4">
        <v>-123265.58835276065</v>
      </c>
    </row>
    <row r="51" spans="1:36">
      <c r="A51" s="4">
        <v>25</v>
      </c>
      <c r="B51" s="4">
        <v>683646.79295703582</v>
      </c>
      <c r="C51" s="4">
        <v>128124.34704296419</v>
      </c>
      <c r="L51" s="4">
        <v>25</v>
      </c>
      <c r="M51" s="4">
        <v>810968.70443419367</v>
      </c>
      <c r="N51" s="4">
        <v>802.43556580634322</v>
      </c>
      <c r="W51" s="4">
        <v>25</v>
      </c>
      <c r="X51" s="4">
        <v>681049.24456585874</v>
      </c>
      <c r="Y51" s="4">
        <v>130721.89543414128</v>
      </c>
      <c r="AH51" s="4">
        <v>25</v>
      </c>
      <c r="AI51" s="4">
        <v>695064.72459345777</v>
      </c>
      <c r="AJ51" s="4">
        <v>116706.41540654225</v>
      </c>
    </row>
    <row r="52" spans="1:36">
      <c r="A52" s="4">
        <v>26</v>
      </c>
      <c r="B52" s="4">
        <v>927949.18293500762</v>
      </c>
      <c r="C52" s="4">
        <v>-127497.24293500767</v>
      </c>
      <c r="L52" s="4">
        <v>26</v>
      </c>
      <c r="M52" s="4">
        <v>764908.36631941481</v>
      </c>
      <c r="N52" s="4">
        <v>35543.573680585134</v>
      </c>
      <c r="W52" s="4">
        <v>26</v>
      </c>
      <c r="X52" s="4">
        <v>678413.36592624744</v>
      </c>
      <c r="Y52" s="4">
        <v>122038.5740737525</v>
      </c>
      <c r="AH52" s="4">
        <v>26</v>
      </c>
      <c r="AI52" s="4">
        <v>675991.36990086699</v>
      </c>
      <c r="AJ52" s="4">
        <v>124460.57009913295</v>
      </c>
    </row>
    <row r="53" spans="1:36">
      <c r="A53" s="4">
        <v>27</v>
      </c>
      <c r="B53" s="4">
        <v>678480.08118449722</v>
      </c>
      <c r="C53" s="4">
        <v>105192.73881550273</v>
      </c>
      <c r="L53" s="4">
        <v>27</v>
      </c>
      <c r="M53" s="4">
        <v>778751.44237559929</v>
      </c>
      <c r="N53" s="4">
        <v>4921.3776244006585</v>
      </c>
      <c r="W53" s="4">
        <v>27</v>
      </c>
      <c r="X53" s="4">
        <v>674390.18273947237</v>
      </c>
      <c r="Y53" s="4">
        <v>109282.63726052758</v>
      </c>
      <c r="AH53" s="4">
        <v>27</v>
      </c>
      <c r="AI53" s="4">
        <v>688633.01196456084</v>
      </c>
      <c r="AJ53" s="4">
        <v>95039.808035439113</v>
      </c>
    </row>
    <row r="54" spans="1:36">
      <c r="A54" s="4">
        <v>28</v>
      </c>
      <c r="B54" s="4">
        <v>673038.12180086761</v>
      </c>
      <c r="C54" s="4">
        <v>28603.848199132364</v>
      </c>
      <c r="L54" s="4">
        <v>28</v>
      </c>
      <c r="M54" s="4">
        <v>704113.00137163547</v>
      </c>
      <c r="N54" s="4">
        <v>-2471.0313716355013</v>
      </c>
      <c r="W54" s="4">
        <v>28</v>
      </c>
      <c r="X54" s="4">
        <v>680910.51411114226</v>
      </c>
      <c r="Y54" s="4">
        <v>20731.455888857716</v>
      </c>
      <c r="AH54" s="4">
        <v>28</v>
      </c>
      <c r="AI54" s="4">
        <v>671555.70601886918</v>
      </c>
      <c r="AJ54" s="4">
        <v>30086.263981130789</v>
      </c>
    </row>
    <row r="55" spans="1:36">
      <c r="A55" s="4">
        <v>29</v>
      </c>
      <c r="B55" s="4">
        <v>706867.53325880237</v>
      </c>
      <c r="C55" s="4">
        <v>-195023.1232588024</v>
      </c>
      <c r="L55" s="4">
        <v>29</v>
      </c>
      <c r="M55" s="4">
        <v>588694.57085164357</v>
      </c>
      <c r="N55" s="4">
        <v>-76850.160851643595</v>
      </c>
      <c r="W55" s="4">
        <v>29</v>
      </c>
      <c r="X55" s="4">
        <v>680633.05320170952</v>
      </c>
      <c r="Y55" s="4">
        <v>-168788.64320170955</v>
      </c>
      <c r="AH55" s="4">
        <v>29</v>
      </c>
      <c r="AI55" s="4">
        <v>673329.97157166828</v>
      </c>
      <c r="AJ55" s="4">
        <v>-161485.56157166831</v>
      </c>
    </row>
    <row r="56" spans="1:36">
      <c r="A56" s="4">
        <v>30</v>
      </c>
      <c r="B56" s="4">
        <v>695316.95093524118</v>
      </c>
      <c r="C56" s="4">
        <v>-157933.16093524115</v>
      </c>
      <c r="L56" s="4">
        <v>30</v>
      </c>
      <c r="M56" s="4">
        <v>531681.07719756418</v>
      </c>
      <c r="N56" s="4">
        <v>5702.7128024358535</v>
      </c>
      <c r="W56" s="4">
        <v>30</v>
      </c>
      <c r="X56" s="4">
        <v>667869.85136780248</v>
      </c>
      <c r="Y56" s="4">
        <v>-130486.06136780244</v>
      </c>
      <c r="AH56" s="4">
        <v>30</v>
      </c>
      <c r="AI56" s="4">
        <v>678874.55142416561</v>
      </c>
      <c r="AJ56" s="4">
        <v>-141490.76142416557</v>
      </c>
    </row>
    <row r="57" spans="1:36">
      <c r="A57" s="4">
        <v>31</v>
      </c>
      <c r="B57" s="4">
        <v>656544.51829717786</v>
      </c>
      <c r="C57" s="4">
        <v>-156371.49829717784</v>
      </c>
      <c r="L57" s="4">
        <v>31</v>
      </c>
      <c r="M57" s="4">
        <v>534570.99771444802</v>
      </c>
      <c r="N57" s="4">
        <v>-34397.977714448003</v>
      </c>
      <c r="W57" s="4">
        <v>31</v>
      </c>
      <c r="X57" s="4">
        <v>678968.28774511302</v>
      </c>
      <c r="Y57" s="4">
        <v>-178795.267745113</v>
      </c>
      <c r="AH57" s="4">
        <v>31</v>
      </c>
      <c r="AI57" s="4">
        <v>679096.33461826551</v>
      </c>
      <c r="AJ57" s="4">
        <v>-178923.31461826549</v>
      </c>
    </row>
    <row r="58" spans="1:36">
      <c r="A58" s="4">
        <v>32</v>
      </c>
      <c r="B58" s="4">
        <v>709456.52187181311</v>
      </c>
      <c r="C58" s="4">
        <v>-281539.1418718131</v>
      </c>
      <c r="L58" s="4">
        <v>32</v>
      </c>
      <c r="M58" s="4">
        <v>481053.9511054873</v>
      </c>
      <c r="N58" s="4">
        <v>-53136.571105487295</v>
      </c>
      <c r="W58" s="4">
        <v>32</v>
      </c>
      <c r="X58" s="4">
        <v>674528.91319418873</v>
      </c>
      <c r="Y58" s="4">
        <v>-246611.53319418873</v>
      </c>
      <c r="AH58" s="4">
        <v>32</v>
      </c>
      <c r="AI58" s="4">
        <v>684197.34808256302</v>
      </c>
      <c r="AJ58" s="4">
        <v>-256279.96808256302</v>
      </c>
    </row>
    <row r="59" spans="1:36">
      <c r="A59" s="4">
        <v>33</v>
      </c>
      <c r="B59" s="4">
        <v>677047.53715738084</v>
      </c>
      <c r="C59" s="4">
        <v>-35182.507157380809</v>
      </c>
      <c r="L59" s="4">
        <v>33</v>
      </c>
      <c r="M59" s="4">
        <v>782818.73791788029</v>
      </c>
      <c r="N59" s="4">
        <v>-140953.70791788027</v>
      </c>
      <c r="W59" s="4">
        <v>33</v>
      </c>
      <c r="X59" s="4">
        <v>671754.30409986118</v>
      </c>
      <c r="Y59" s="4">
        <v>-29889.274099861155</v>
      </c>
      <c r="AH59" s="4">
        <v>33</v>
      </c>
      <c r="AI59" s="4">
        <v>669559.65727197018</v>
      </c>
      <c r="AJ59" s="4">
        <v>-27694.627271970152</v>
      </c>
    </row>
    <row r="60" spans="1:36">
      <c r="A60" s="4">
        <v>34</v>
      </c>
      <c r="B60" s="4">
        <v>717880.18485461432</v>
      </c>
      <c r="C60" s="4">
        <v>81597.575145385694</v>
      </c>
      <c r="L60" s="4">
        <v>34</v>
      </c>
      <c r="M60" s="4">
        <v>863665.1563284836</v>
      </c>
      <c r="N60" s="4">
        <v>-64187.396328483592</v>
      </c>
      <c r="W60" s="4">
        <v>34</v>
      </c>
      <c r="X60" s="4">
        <v>688124.49775639409</v>
      </c>
      <c r="Y60" s="4">
        <v>111353.26224360592</v>
      </c>
      <c r="AH60" s="4">
        <v>34</v>
      </c>
      <c r="AI60" s="4">
        <v>672664.62198936869</v>
      </c>
      <c r="AJ60" s="4">
        <v>126813.13801063132</v>
      </c>
    </row>
    <row r="61" spans="1:36">
      <c r="A61" s="4">
        <v>35</v>
      </c>
      <c r="B61" s="4">
        <v>719247.30832766718</v>
      </c>
      <c r="C61" s="4">
        <v>79704.86167233286</v>
      </c>
      <c r="L61" s="4">
        <v>35</v>
      </c>
      <c r="M61" s="4">
        <v>783532.29853933305</v>
      </c>
      <c r="N61" s="4">
        <v>15419.871460666996</v>
      </c>
      <c r="W61" s="4">
        <v>35</v>
      </c>
      <c r="X61" s="4">
        <v>692425.1418526019</v>
      </c>
      <c r="Y61" s="4">
        <v>106527.02814739814</v>
      </c>
      <c r="AH61" s="4">
        <v>35</v>
      </c>
      <c r="AI61" s="4">
        <v>689076.57835276064</v>
      </c>
      <c r="AJ61" s="4">
        <v>109875.5916472394</v>
      </c>
    </row>
    <row r="62" spans="1:36">
      <c r="A62" s="4">
        <v>36</v>
      </c>
      <c r="B62" s="4">
        <v>672545.48714033619</v>
      </c>
      <c r="C62" s="4">
        <v>128434.29285966384</v>
      </c>
      <c r="L62" s="4">
        <v>36</v>
      </c>
      <c r="M62" s="4">
        <v>819353.04173626413</v>
      </c>
      <c r="N62" s="4">
        <v>-18373.261736264103</v>
      </c>
      <c r="W62" s="4">
        <v>36</v>
      </c>
      <c r="X62" s="4">
        <v>663569.20727159467</v>
      </c>
      <c r="Y62" s="4">
        <v>137410.57272840536</v>
      </c>
      <c r="AH62" s="4">
        <v>36</v>
      </c>
      <c r="AI62" s="4">
        <v>704379.61874565319</v>
      </c>
      <c r="AJ62" s="4">
        <v>96600.161254346836</v>
      </c>
    </row>
    <row r="63" spans="1:36">
      <c r="A63" s="4">
        <v>37</v>
      </c>
      <c r="B63" s="4">
        <v>721070.20351233077</v>
      </c>
      <c r="C63" s="4">
        <v>99523.726487669279</v>
      </c>
      <c r="L63" s="4">
        <v>37</v>
      </c>
      <c r="M63" s="4">
        <v>761733.0215539498</v>
      </c>
      <c r="N63" s="4">
        <v>58860.908446050249</v>
      </c>
      <c r="W63" s="4">
        <v>37</v>
      </c>
      <c r="X63" s="4">
        <v>685072.4277526337</v>
      </c>
      <c r="Y63" s="4">
        <v>135521.50224736636</v>
      </c>
      <c r="AH63" s="4">
        <v>37</v>
      </c>
      <c r="AI63" s="4">
        <v>669116.09088377038</v>
      </c>
      <c r="AJ63" s="4">
        <v>151477.83911622968</v>
      </c>
    </row>
    <row r="64" spans="1:36">
      <c r="A64" s="4">
        <v>38</v>
      </c>
      <c r="B64" s="4">
        <v>691204.05951356038</v>
      </c>
      <c r="C64" s="4">
        <v>27126.470486439648</v>
      </c>
      <c r="L64" s="4">
        <v>38</v>
      </c>
      <c r="M64" s="4">
        <v>737400.6043624091</v>
      </c>
      <c r="N64" s="4">
        <v>-19070.074362409068</v>
      </c>
      <c r="W64" s="4">
        <v>38</v>
      </c>
      <c r="X64" s="4">
        <v>676193.67865078535</v>
      </c>
      <c r="Y64" s="4">
        <v>42136.851349214674</v>
      </c>
      <c r="AH64" s="4">
        <v>38</v>
      </c>
      <c r="AI64" s="4">
        <v>690850.84390555974</v>
      </c>
      <c r="AJ64" s="4">
        <v>27479.686094440287</v>
      </c>
    </row>
    <row r="65" spans="1:36">
      <c r="A65" s="4">
        <v>39</v>
      </c>
      <c r="B65" s="4">
        <v>759639.77280468796</v>
      </c>
      <c r="C65" s="4">
        <v>-23006.372804687941</v>
      </c>
      <c r="L65" s="4">
        <v>39</v>
      </c>
      <c r="M65" s="4">
        <v>716207.85390526056</v>
      </c>
      <c r="N65" s="4">
        <v>20425.54609473946</v>
      </c>
      <c r="W65" s="4">
        <v>39</v>
      </c>
      <c r="X65" s="4">
        <v>670366.99955269741</v>
      </c>
      <c r="Y65" s="4">
        <v>66266.400447302614</v>
      </c>
      <c r="AH65" s="4">
        <v>39</v>
      </c>
      <c r="AI65" s="4">
        <v>668672.52449557057</v>
      </c>
      <c r="AJ65" s="4">
        <v>67960.875504429452</v>
      </c>
    </row>
    <row r="66" spans="1:36">
      <c r="A66" s="4">
        <v>40</v>
      </c>
      <c r="B66" s="4">
        <v>699225.70126601914</v>
      </c>
      <c r="C66" s="4">
        <v>129398.14873398084</v>
      </c>
      <c r="L66" s="4">
        <v>40</v>
      </c>
      <c r="M66" s="4">
        <v>788848.32516915654</v>
      </c>
      <c r="N66" s="4">
        <v>39775.524830843438</v>
      </c>
      <c r="W66" s="4">
        <v>40</v>
      </c>
      <c r="X66" s="4">
        <v>686043.54093564837</v>
      </c>
      <c r="Y66" s="4">
        <v>142580.3090643516</v>
      </c>
      <c r="AH66" s="4">
        <v>40</v>
      </c>
      <c r="AI66" s="4">
        <v>702827.13638695399</v>
      </c>
      <c r="AJ66" s="4">
        <v>125796.71361304598</v>
      </c>
    </row>
    <row r="67" spans="1:36">
      <c r="A67" s="4">
        <v>41</v>
      </c>
      <c r="B67" s="4">
        <v>646946.22415518458</v>
      </c>
      <c r="C67" s="4">
        <v>-54750.374155184603</v>
      </c>
      <c r="L67" s="4">
        <v>41</v>
      </c>
      <c r="M67" s="4">
        <v>576992.17665981757</v>
      </c>
      <c r="N67" s="4">
        <v>15203.673340182402</v>
      </c>
      <c r="W67" s="4">
        <v>41</v>
      </c>
      <c r="X67" s="4">
        <v>667592.39045836974</v>
      </c>
      <c r="Y67" s="4">
        <v>-75396.540458369767</v>
      </c>
      <c r="AH67" s="4">
        <v>41</v>
      </c>
      <c r="AI67" s="4">
        <v>695951.85736985737</v>
      </c>
      <c r="AJ67" s="4">
        <v>-103756.0073698574</v>
      </c>
    </row>
    <row r="68" spans="1:36">
      <c r="A68" s="4">
        <v>42</v>
      </c>
      <c r="B68" s="4">
        <v>659001.622310151</v>
      </c>
      <c r="C68" s="4">
        <v>-126357.16231015103</v>
      </c>
      <c r="L68" s="4">
        <v>42</v>
      </c>
      <c r="M68" s="4">
        <v>561543.58920536423</v>
      </c>
      <c r="N68" s="4">
        <v>-28899.129205364268</v>
      </c>
      <c r="W68" s="4">
        <v>42</v>
      </c>
      <c r="X68" s="4">
        <v>677997.17456209834</v>
      </c>
      <c r="Y68" s="4">
        <v>-145352.71456209838</v>
      </c>
      <c r="AH68" s="4">
        <v>42</v>
      </c>
      <c r="AI68" s="4">
        <v>652038.78493807872</v>
      </c>
      <c r="AJ68" s="4">
        <v>-119394.32493807876</v>
      </c>
    </row>
    <row r="69" spans="1:36">
      <c r="A69" s="4">
        <v>43</v>
      </c>
      <c r="B69" s="4">
        <v>705753.59499644663</v>
      </c>
      <c r="C69" s="4">
        <v>-48324.414996446576</v>
      </c>
      <c r="L69" s="4">
        <v>43</v>
      </c>
      <c r="M69" s="4">
        <v>566288.76733802538</v>
      </c>
      <c r="N69" s="4">
        <v>91140.412661974668</v>
      </c>
      <c r="W69" s="4">
        <v>43</v>
      </c>
      <c r="X69" s="4">
        <v>680078.13138284406</v>
      </c>
      <c r="Y69" s="4">
        <v>-22648.95138284401</v>
      </c>
      <c r="AH69" s="4">
        <v>43</v>
      </c>
      <c r="AI69" s="4">
        <v>680427.03378286492</v>
      </c>
      <c r="AJ69" s="4">
        <v>-22997.85378286487</v>
      </c>
    </row>
    <row r="70" spans="1:36">
      <c r="A70" s="4">
        <v>44</v>
      </c>
      <c r="B70" s="4">
        <v>698948.74999466608</v>
      </c>
      <c r="C70" s="4">
        <v>-93770.749994666083</v>
      </c>
      <c r="L70" s="4">
        <v>44</v>
      </c>
      <c r="M70" s="4">
        <v>576349.97210051003</v>
      </c>
      <c r="N70" s="4">
        <v>28828.027899489971</v>
      </c>
      <c r="W70" s="4">
        <v>44</v>
      </c>
      <c r="X70" s="4">
        <v>695199.75094692956</v>
      </c>
      <c r="Y70" s="4">
        <v>-90021.750946929562</v>
      </c>
      <c r="AH70" s="4">
        <v>44</v>
      </c>
      <c r="AI70" s="4">
        <v>679539.90100646531</v>
      </c>
      <c r="AJ70" s="4">
        <v>-74361.901006465312</v>
      </c>
    </row>
    <row r="71" spans="1:36">
      <c r="A71" s="4">
        <v>45</v>
      </c>
      <c r="B71" s="4">
        <v>856480.61364533973</v>
      </c>
      <c r="C71" s="4">
        <v>-261013.01364533976</v>
      </c>
      <c r="L71" s="4">
        <v>45</v>
      </c>
      <c r="M71" s="4">
        <v>629974.05280268856</v>
      </c>
      <c r="N71" s="4">
        <v>-34506.452802688582</v>
      </c>
      <c r="W71" s="4">
        <v>45</v>
      </c>
      <c r="X71" s="4">
        <v>689511.80230355787</v>
      </c>
      <c r="Y71" s="4">
        <v>-94044.20230355789</v>
      </c>
      <c r="AH71" s="4">
        <v>45</v>
      </c>
      <c r="AI71" s="4">
        <v>680427.03378286492</v>
      </c>
      <c r="AJ71" s="4">
        <v>-84959.433782864944</v>
      </c>
    </row>
    <row r="72" spans="1:36">
      <c r="A72" s="4">
        <v>46</v>
      </c>
      <c r="B72" s="4">
        <v>696282.67075479659</v>
      </c>
      <c r="C72" s="4">
        <v>-96679.270754796569</v>
      </c>
      <c r="L72" s="4">
        <v>46</v>
      </c>
      <c r="M72" s="4">
        <v>605534.60151792993</v>
      </c>
      <c r="N72" s="4">
        <v>-5931.2015179299051</v>
      </c>
      <c r="W72" s="4">
        <v>46</v>
      </c>
      <c r="X72" s="4">
        <v>665233.97272819129</v>
      </c>
      <c r="Y72" s="4">
        <v>-65630.57272819127</v>
      </c>
      <c r="AH72" s="4">
        <v>46</v>
      </c>
      <c r="AI72" s="4">
        <v>703492.48596925358</v>
      </c>
      <c r="AJ72" s="4">
        <v>-103889.08596925356</v>
      </c>
    </row>
    <row r="73" spans="1:36">
      <c r="A73" s="4">
        <v>47</v>
      </c>
      <c r="B73" s="4">
        <v>667349.06779197778</v>
      </c>
      <c r="C73" s="4">
        <v>-52548.977791977813</v>
      </c>
      <c r="L73" s="4">
        <v>47</v>
      </c>
      <c r="M73" s="4">
        <v>582129.81313427771</v>
      </c>
      <c r="N73" s="4">
        <v>32670.276865722262</v>
      </c>
      <c r="W73" s="4">
        <v>47</v>
      </c>
      <c r="X73" s="4">
        <v>682159.08820358966</v>
      </c>
      <c r="Y73" s="4">
        <v>-67358.998203589697</v>
      </c>
      <c r="AH73" s="4">
        <v>47</v>
      </c>
      <c r="AI73" s="4">
        <v>686415.18002356193</v>
      </c>
      <c r="AJ73" s="4">
        <v>-71615.090023561963</v>
      </c>
    </row>
    <row r="74" spans="1:36">
      <c r="A74" s="4">
        <v>48</v>
      </c>
      <c r="B74" s="4">
        <v>650419.3485569508</v>
      </c>
      <c r="C74" s="4">
        <v>-65053.618556950823</v>
      </c>
      <c r="L74" s="4">
        <v>48</v>
      </c>
      <c r="M74" s="4">
        <v>591762.88152389065</v>
      </c>
      <c r="N74" s="4">
        <v>-6397.1515238906723</v>
      </c>
      <c r="W74" s="4">
        <v>48</v>
      </c>
      <c r="X74" s="4">
        <v>676332.40910550172</v>
      </c>
      <c r="Y74" s="4">
        <v>-90966.679105501738</v>
      </c>
      <c r="AH74" s="4">
        <v>48</v>
      </c>
      <c r="AI74" s="4">
        <v>679983.46739466512</v>
      </c>
      <c r="AJ74" s="4">
        <v>-94617.737394665135</v>
      </c>
    </row>
    <row r="75" spans="1:36">
      <c r="A75" s="4">
        <v>49</v>
      </c>
      <c r="B75" s="4">
        <v>660066.77200175158</v>
      </c>
      <c r="C75" s="4">
        <v>-37255.032001751591</v>
      </c>
      <c r="L75" s="4">
        <v>49</v>
      </c>
      <c r="M75" s="4">
        <v>628511.25352871034</v>
      </c>
      <c r="N75" s="4">
        <v>-5699.5135287103476</v>
      </c>
      <c r="W75" s="4">
        <v>49</v>
      </c>
      <c r="X75" s="4">
        <v>682714.01002245524</v>
      </c>
      <c r="Y75" s="4">
        <v>-59902.270022455254</v>
      </c>
      <c r="AH75" s="4">
        <v>49</v>
      </c>
      <c r="AI75" s="4">
        <v>700609.30444595497</v>
      </c>
      <c r="AJ75" s="4">
        <v>-77797.56444595498</v>
      </c>
    </row>
    <row r="76" spans="1:36">
      <c r="A76" s="4">
        <v>50</v>
      </c>
      <c r="B76" s="4">
        <v>666639.15256077237</v>
      </c>
      <c r="C76" s="4">
        <v>-63341.582560772425</v>
      </c>
      <c r="L76" s="4">
        <v>50</v>
      </c>
      <c r="M76" s="4">
        <v>644744.75766676175</v>
      </c>
      <c r="N76" s="4">
        <v>-41447.187666761805</v>
      </c>
      <c r="W76" s="4">
        <v>50</v>
      </c>
      <c r="X76" s="4">
        <v>667592.39045836974</v>
      </c>
      <c r="Y76" s="4">
        <v>-64294.820458369795</v>
      </c>
      <c r="AH76" s="4">
        <v>50</v>
      </c>
      <c r="AI76" s="4">
        <v>642280.32439768338</v>
      </c>
      <c r="AJ76" s="4">
        <v>-38982.754397683428</v>
      </c>
    </row>
    <row r="77" spans="1:36">
      <c r="A77" s="4">
        <v>51</v>
      </c>
      <c r="B77" s="4">
        <v>663609.95943179552</v>
      </c>
      <c r="C77" s="4">
        <v>-37937.099431795534</v>
      </c>
      <c r="L77" s="4">
        <v>51</v>
      </c>
      <c r="M77" s="4">
        <v>630152.4429580518</v>
      </c>
      <c r="N77" s="4">
        <v>-4479.5829580518184</v>
      </c>
      <c r="W77" s="4">
        <v>51</v>
      </c>
      <c r="X77" s="4">
        <v>696725.7859488097</v>
      </c>
      <c r="Y77" s="4">
        <v>-71052.925948809716</v>
      </c>
      <c r="AH77" s="4">
        <v>51</v>
      </c>
      <c r="AI77" s="4">
        <v>663127.94464307325</v>
      </c>
      <c r="AJ77" s="4">
        <v>-37455.084643073264</v>
      </c>
    </row>
    <row r="78" spans="1:36">
      <c r="A78" s="4">
        <v>52</v>
      </c>
      <c r="B78" s="4">
        <v>699865.21273689438</v>
      </c>
      <c r="C78" s="4">
        <v>73949.927263105637</v>
      </c>
      <c r="L78" s="4">
        <v>52</v>
      </c>
      <c r="M78" s="4">
        <v>702899.9483151657</v>
      </c>
      <c r="N78" s="4">
        <v>70915.19168483431</v>
      </c>
      <c r="W78" s="4">
        <v>52</v>
      </c>
      <c r="X78" s="4">
        <v>690899.10685072176</v>
      </c>
      <c r="Y78" s="4">
        <v>82916.033149278257</v>
      </c>
      <c r="AH78" s="4">
        <v>52</v>
      </c>
      <c r="AI78" s="4">
        <v>692625.10945835896</v>
      </c>
      <c r="AJ78" s="4">
        <v>81190.030541641056</v>
      </c>
    </row>
    <row r="79" spans="1:36">
      <c r="A79" s="4">
        <v>53</v>
      </c>
      <c r="B79" s="4">
        <v>673677.76104626246</v>
      </c>
      <c r="C79" s="4">
        <v>-210143.51104626246</v>
      </c>
      <c r="L79" s="4">
        <v>53</v>
      </c>
      <c r="M79" s="4">
        <v>563398.84682114155</v>
      </c>
      <c r="N79" s="4">
        <v>-99864.596821141546</v>
      </c>
      <c r="W79" s="4">
        <v>53</v>
      </c>
      <c r="X79" s="4">
        <v>685766.08002621564</v>
      </c>
      <c r="Y79" s="4">
        <v>-222231.83002621564</v>
      </c>
      <c r="AH79" s="4">
        <v>53</v>
      </c>
      <c r="AI79" s="4">
        <v>671777.48921296909</v>
      </c>
      <c r="AJ79" s="4">
        <v>-208243.23921296909</v>
      </c>
    </row>
    <row r="80" spans="1:36">
      <c r="A80" s="4">
        <v>54</v>
      </c>
      <c r="B80" s="4">
        <v>773466.57301289681</v>
      </c>
      <c r="C80" s="4">
        <v>-26788.823012896813</v>
      </c>
      <c r="L80" s="4">
        <v>54</v>
      </c>
      <c r="M80" s="4">
        <v>656447.15185858775</v>
      </c>
      <c r="N80" s="4">
        <v>90230.598141412251</v>
      </c>
      <c r="W80" s="4">
        <v>54</v>
      </c>
      <c r="X80" s="4">
        <v>661488.25045084895</v>
      </c>
      <c r="Y80" s="4">
        <v>85189.499549151049</v>
      </c>
      <c r="AH80" s="4">
        <v>54</v>
      </c>
      <c r="AI80" s="4">
        <v>681535.94975336432</v>
      </c>
      <c r="AJ80" s="4">
        <v>65141.800246635685</v>
      </c>
    </row>
    <row r="81" spans="1:36">
      <c r="A81" s="4">
        <v>55</v>
      </c>
      <c r="B81" s="4">
        <v>733689.27896075696</v>
      </c>
      <c r="C81" s="4">
        <v>-12836.778960756958</v>
      </c>
      <c r="L81" s="4">
        <v>55</v>
      </c>
      <c r="M81" s="4">
        <v>643210.60233063821</v>
      </c>
      <c r="N81" s="4">
        <v>77641.897669361788</v>
      </c>
      <c r="W81" s="4">
        <v>55</v>
      </c>
      <c r="X81" s="4">
        <v>683130.20138660434</v>
      </c>
      <c r="Y81" s="4">
        <v>37722.298613395658</v>
      </c>
      <c r="AH81" s="4">
        <v>55</v>
      </c>
      <c r="AI81" s="4">
        <v>679983.46739466512</v>
      </c>
      <c r="AJ81" s="4">
        <v>40869.032605334884</v>
      </c>
    </row>
    <row r="82" spans="1:36">
      <c r="A82" s="4">
        <v>56</v>
      </c>
      <c r="B82" s="4">
        <v>619997.85390425147</v>
      </c>
      <c r="C82" s="4">
        <v>-132532.9439042515</v>
      </c>
      <c r="L82" s="4">
        <v>56</v>
      </c>
      <c r="M82" s="4">
        <v>548556.78589492303</v>
      </c>
      <c r="N82" s="4">
        <v>-61091.875894923054</v>
      </c>
      <c r="W82" s="4">
        <v>56</v>
      </c>
      <c r="X82" s="4">
        <v>686737.19320923032</v>
      </c>
      <c r="Y82" s="4">
        <v>-199272.28320923034</v>
      </c>
      <c r="AH82" s="4">
        <v>56</v>
      </c>
      <c r="AI82" s="4">
        <v>682866.64891796373</v>
      </c>
      <c r="AJ82" s="4">
        <v>-195401.73891796375</v>
      </c>
    </row>
    <row r="83" spans="1:36">
      <c r="A83" s="4">
        <v>57</v>
      </c>
      <c r="B83" s="4">
        <v>602016.69944273378</v>
      </c>
      <c r="C83" s="4">
        <v>-83967.439442733768</v>
      </c>
      <c r="L83" s="4">
        <v>57</v>
      </c>
      <c r="M83" s="4">
        <v>531252.94082469249</v>
      </c>
      <c r="N83" s="4">
        <v>-13203.680824692477</v>
      </c>
      <c r="W83" s="4">
        <v>57</v>
      </c>
      <c r="X83" s="4">
        <v>697835.62958654074</v>
      </c>
      <c r="Y83" s="4">
        <v>-179786.36958654074</v>
      </c>
      <c r="AH83" s="4">
        <v>57</v>
      </c>
      <c r="AI83" s="4">
        <v>695064.72459345777</v>
      </c>
      <c r="AJ83" s="4">
        <v>-177015.46459345776</v>
      </c>
    </row>
    <row r="84" spans="1:36">
      <c r="A84" s="4">
        <v>58</v>
      </c>
      <c r="B84" s="4">
        <v>687286.21589613357</v>
      </c>
      <c r="C84" s="4">
        <v>-186987.73589613358</v>
      </c>
      <c r="L84" s="4">
        <v>58</v>
      </c>
      <c r="M84" s="4">
        <v>536140.83108164417</v>
      </c>
      <c r="N84" s="4">
        <v>-35842.351081644185</v>
      </c>
      <c r="W84" s="4">
        <v>58</v>
      </c>
      <c r="X84" s="4">
        <v>692425.1418526019</v>
      </c>
      <c r="Y84" s="4">
        <v>-192126.66185260192</v>
      </c>
      <c r="AH84" s="4">
        <v>58</v>
      </c>
      <c r="AI84" s="4">
        <v>653369.48410267802</v>
      </c>
      <c r="AJ84" s="4">
        <v>-153071.00410267804</v>
      </c>
    </row>
    <row r="85" spans="1:36">
      <c r="A85" s="4">
        <v>59</v>
      </c>
      <c r="B85" s="4">
        <v>814006.16984930076</v>
      </c>
      <c r="C85" s="4">
        <v>-196715.01984930073</v>
      </c>
      <c r="L85" s="4">
        <v>59</v>
      </c>
      <c r="M85" s="4">
        <v>589907.62390811334</v>
      </c>
      <c r="N85" s="4">
        <v>27383.526091886684</v>
      </c>
      <c r="W85" s="4">
        <v>59</v>
      </c>
      <c r="X85" s="4">
        <v>678829.55729039654</v>
      </c>
      <c r="Y85" s="4">
        <v>-61538.407290396513</v>
      </c>
      <c r="AH85" s="4">
        <v>59</v>
      </c>
      <c r="AI85" s="4">
        <v>677987.418647766</v>
      </c>
      <c r="AJ85" s="4">
        <v>-60696.268647765974</v>
      </c>
    </row>
    <row r="86" spans="1:36">
      <c r="A86" s="4">
        <v>60</v>
      </c>
      <c r="B86" s="4">
        <v>673542.87374501291</v>
      </c>
      <c r="C86" s="4">
        <v>-119786.44374501286</v>
      </c>
      <c r="L86" s="4">
        <v>60</v>
      </c>
      <c r="M86" s="4">
        <v>602573.32493890077</v>
      </c>
      <c r="N86" s="4">
        <v>-48816.894938900718</v>
      </c>
      <c r="W86" s="4">
        <v>60</v>
      </c>
      <c r="X86" s="4">
        <v>685072.4277526337</v>
      </c>
      <c r="Y86" s="4">
        <v>-131315.99775263364</v>
      </c>
      <c r="AH86" s="4">
        <v>60</v>
      </c>
      <c r="AI86" s="4">
        <v>681314.16655926441</v>
      </c>
      <c r="AJ86" s="4">
        <v>-127557.73655926436</v>
      </c>
    </row>
    <row r="87" spans="1:36">
      <c r="A87" s="4">
        <v>61</v>
      </c>
      <c r="B87" s="4">
        <v>720299.53149702935</v>
      </c>
      <c r="C87" s="4">
        <v>29260.178502970608</v>
      </c>
      <c r="L87" s="4">
        <v>61</v>
      </c>
      <c r="M87" s="4">
        <v>635718.21580538375</v>
      </c>
      <c r="N87" s="4">
        <v>113841.49419461621</v>
      </c>
      <c r="W87" s="4">
        <v>61</v>
      </c>
      <c r="X87" s="4">
        <v>689234.34139412513</v>
      </c>
      <c r="Y87" s="4">
        <v>60325.368605874828</v>
      </c>
      <c r="AH87" s="4">
        <v>61</v>
      </c>
      <c r="AI87" s="4">
        <v>696838.99014625687</v>
      </c>
      <c r="AJ87" s="4">
        <v>52720.719853743096</v>
      </c>
    </row>
    <row r="88" spans="1:36">
      <c r="A88" s="4">
        <v>62</v>
      </c>
      <c r="B88" s="4">
        <v>640177.83748301235</v>
      </c>
      <c r="C88" s="4">
        <v>-24211.357483012369</v>
      </c>
      <c r="L88" s="4">
        <v>62</v>
      </c>
      <c r="M88" s="4">
        <v>586553.8889872852</v>
      </c>
      <c r="N88" s="4">
        <v>29412.59101271478</v>
      </c>
      <c r="W88" s="4">
        <v>62</v>
      </c>
      <c r="X88" s="4">
        <v>687569.57593752863</v>
      </c>
      <c r="Y88" s="4">
        <v>-71603.095937528647</v>
      </c>
      <c r="AH88" s="4">
        <v>62</v>
      </c>
      <c r="AI88" s="4">
        <v>676656.7194831667</v>
      </c>
      <c r="AJ88" s="4">
        <v>-60690.239483166719</v>
      </c>
    </row>
    <row r="89" spans="1:36">
      <c r="A89" s="4">
        <v>63</v>
      </c>
      <c r="B89" s="4">
        <v>667986.96078560397</v>
      </c>
      <c r="C89" s="4">
        <v>-95975.760785604012</v>
      </c>
      <c r="L89" s="4">
        <v>63</v>
      </c>
      <c r="M89" s="4">
        <v>583592.61240825604</v>
      </c>
      <c r="N89" s="4">
        <v>-11581.412408256088</v>
      </c>
      <c r="W89" s="4">
        <v>63</v>
      </c>
      <c r="X89" s="4">
        <v>682159.08820358966</v>
      </c>
      <c r="Y89" s="4">
        <v>-110147.88820358971</v>
      </c>
      <c r="AH89" s="4">
        <v>63</v>
      </c>
      <c r="AI89" s="4">
        <v>681535.94975336432</v>
      </c>
      <c r="AJ89" s="4">
        <v>-109524.74975336436</v>
      </c>
    </row>
    <row r="90" spans="1:36">
      <c r="A90" s="4">
        <v>64</v>
      </c>
      <c r="B90" s="4">
        <v>720398.53545400896</v>
      </c>
      <c r="C90" s="4">
        <v>41461.654545990983</v>
      </c>
      <c r="L90" s="4">
        <v>64</v>
      </c>
      <c r="M90" s="4">
        <v>682599.14863483328</v>
      </c>
      <c r="N90" s="4">
        <v>79261.04136516666</v>
      </c>
      <c r="W90" s="4">
        <v>64</v>
      </c>
      <c r="X90" s="4">
        <v>690344.18503185618</v>
      </c>
      <c r="Y90" s="4">
        <v>71516.004968143767</v>
      </c>
      <c r="AH90" s="4">
        <v>64</v>
      </c>
      <c r="AI90" s="4">
        <v>686858.74641176173</v>
      </c>
      <c r="AJ90" s="4">
        <v>75001.443588238209</v>
      </c>
    </row>
    <row r="91" spans="1:36">
      <c r="A91" s="4">
        <v>65</v>
      </c>
      <c r="B91" s="4">
        <v>709933.46156218019</v>
      </c>
      <c r="C91" s="4">
        <v>74569.218437819858</v>
      </c>
      <c r="L91" s="4">
        <v>65</v>
      </c>
      <c r="M91" s="4">
        <v>773756.51802542969</v>
      </c>
      <c r="N91" s="4">
        <v>10746.161974570365</v>
      </c>
      <c r="W91" s="4">
        <v>65</v>
      </c>
      <c r="X91" s="4">
        <v>682991.47093188798</v>
      </c>
      <c r="Y91" s="4">
        <v>101511.20906811208</v>
      </c>
      <c r="AH91" s="4">
        <v>65</v>
      </c>
      <c r="AI91" s="4">
        <v>695730.07417575736</v>
      </c>
      <c r="AJ91" s="4">
        <v>88772.605824242695</v>
      </c>
    </row>
    <row r="92" spans="1:36">
      <c r="A92" s="4">
        <v>66</v>
      </c>
      <c r="B92" s="4">
        <v>669702.33371197758</v>
      </c>
      <c r="C92" s="4">
        <v>47439.216288022464</v>
      </c>
      <c r="L92" s="4">
        <v>66</v>
      </c>
      <c r="M92" s="4">
        <v>729694.14965071867</v>
      </c>
      <c r="N92" s="4">
        <v>-12552.599650718621</v>
      </c>
      <c r="W92" s="4">
        <v>66</v>
      </c>
      <c r="X92" s="4">
        <v>676193.67865078535</v>
      </c>
      <c r="Y92" s="4">
        <v>40947.871349214693</v>
      </c>
      <c r="AH92" s="4">
        <v>66</v>
      </c>
      <c r="AI92" s="4">
        <v>691737.97668195935</v>
      </c>
      <c r="AJ92" s="4">
        <v>25403.573318040697</v>
      </c>
    </row>
    <row r="93" spans="1:36">
      <c r="A93" s="4">
        <v>67</v>
      </c>
      <c r="B93" s="4">
        <v>729750.84234991227</v>
      </c>
      <c r="C93" s="4">
        <v>-44371.762349912315</v>
      </c>
      <c r="L93" s="4">
        <v>67</v>
      </c>
      <c r="M93" s="4">
        <v>789918.66610133578</v>
      </c>
      <c r="N93" s="4">
        <v>-104539.58610133582</v>
      </c>
      <c r="W93" s="4">
        <v>67</v>
      </c>
      <c r="X93" s="4">
        <v>683685.12320546992</v>
      </c>
      <c r="Y93" s="4">
        <v>1693.9567945300369</v>
      </c>
      <c r="AH93" s="4">
        <v>67</v>
      </c>
      <c r="AI93" s="4">
        <v>704379.61874565319</v>
      </c>
      <c r="AJ93" s="4">
        <v>-19000.538745653233</v>
      </c>
    </row>
    <row r="94" spans="1:36">
      <c r="A94" s="4">
        <v>68</v>
      </c>
      <c r="B94" s="4">
        <v>650258.69339423743</v>
      </c>
      <c r="C94" s="4">
        <v>90237.956605762593</v>
      </c>
      <c r="L94" s="4">
        <v>68</v>
      </c>
      <c r="M94" s="4">
        <v>742395.5287125787</v>
      </c>
      <c r="N94" s="4">
        <v>-1898.8787125786766</v>
      </c>
      <c r="W94" s="4">
        <v>68</v>
      </c>
      <c r="X94" s="4">
        <v>681881.62729415693</v>
      </c>
      <c r="Y94" s="4">
        <v>58615.02270584309</v>
      </c>
      <c r="AH94" s="4">
        <v>68</v>
      </c>
      <c r="AI94" s="4">
        <v>688411.22877046093</v>
      </c>
      <c r="AJ94" s="4">
        <v>52085.42122953909</v>
      </c>
    </row>
    <row r="95" spans="1:36">
      <c r="A95" s="4">
        <v>69</v>
      </c>
      <c r="B95" s="4">
        <v>711843.54156075534</v>
      </c>
      <c r="C95" s="4">
        <v>-49916.40156075533</v>
      </c>
      <c r="L95" s="4">
        <v>69</v>
      </c>
      <c r="M95" s="4">
        <v>574673.10464009584</v>
      </c>
      <c r="N95" s="4">
        <v>87254.03535990417</v>
      </c>
      <c r="W95" s="4">
        <v>69</v>
      </c>
      <c r="X95" s="4">
        <v>678274.63547153107</v>
      </c>
      <c r="Y95" s="4">
        <v>-16347.49547153106</v>
      </c>
      <c r="AH95" s="4">
        <v>69</v>
      </c>
      <c r="AI95" s="4">
        <v>681979.51614156412</v>
      </c>
      <c r="AJ95" s="4">
        <v>-20052.376141564106</v>
      </c>
    </row>
    <row r="96" spans="1:36">
      <c r="A96" s="4">
        <v>70</v>
      </c>
      <c r="B96" s="4">
        <v>639174.36029289884</v>
      </c>
      <c r="C96" s="4">
        <v>-160123.86029289884</v>
      </c>
      <c r="L96" s="4">
        <v>70</v>
      </c>
      <c r="M96" s="4">
        <v>547522.12299381651</v>
      </c>
      <c r="N96" s="4">
        <v>-68471.622993816505</v>
      </c>
      <c r="W96" s="4">
        <v>70</v>
      </c>
      <c r="X96" s="4">
        <v>671338.11273571197</v>
      </c>
      <c r="Y96" s="4">
        <v>-192287.61273571197</v>
      </c>
      <c r="AH96" s="4">
        <v>70</v>
      </c>
      <c r="AI96" s="4">
        <v>666232.90936047176</v>
      </c>
      <c r="AJ96" s="4">
        <v>-187182.40936047176</v>
      </c>
    </row>
    <row r="97" spans="1:36">
      <c r="A97" s="4">
        <v>71</v>
      </c>
      <c r="B97" s="4">
        <v>689769.5988686491</v>
      </c>
      <c r="C97" s="4">
        <v>-84745.728868649108</v>
      </c>
      <c r="L97" s="4">
        <v>71</v>
      </c>
      <c r="M97" s="4">
        <v>560330.53614889446</v>
      </c>
      <c r="N97" s="4">
        <v>44693.333851105534</v>
      </c>
      <c r="W97" s="4">
        <v>71</v>
      </c>
      <c r="X97" s="4">
        <v>670505.73000741377</v>
      </c>
      <c r="Y97" s="4">
        <v>-65481.860007413779</v>
      </c>
      <c r="AH97" s="4">
        <v>71</v>
      </c>
      <c r="AI97" s="4">
        <v>704379.61874565319</v>
      </c>
      <c r="AJ97" s="4">
        <v>-99355.748745653196</v>
      </c>
    </row>
    <row r="98" spans="1:36">
      <c r="A98" s="4">
        <v>72</v>
      </c>
      <c r="B98" s="4">
        <v>678076.82480046479</v>
      </c>
      <c r="C98" s="4">
        <v>-3302.7348004648229</v>
      </c>
      <c r="L98" s="4">
        <v>72</v>
      </c>
      <c r="M98" s="4">
        <v>642104.58336738637</v>
      </c>
      <c r="N98" s="4">
        <v>32669.5066326136</v>
      </c>
      <c r="W98" s="4">
        <v>72</v>
      </c>
      <c r="X98" s="4">
        <v>692841.33321675099</v>
      </c>
      <c r="Y98" s="4">
        <v>-18067.243216751027</v>
      </c>
      <c r="AH98" s="4">
        <v>72</v>
      </c>
      <c r="AI98" s="4">
        <v>679983.46739466512</v>
      </c>
      <c r="AJ98" s="4">
        <v>-5209.377394665149</v>
      </c>
    </row>
    <row r="99" spans="1:36">
      <c r="A99" s="4">
        <v>73</v>
      </c>
      <c r="B99" s="4">
        <v>659166.83476406534</v>
      </c>
      <c r="C99" s="4">
        <v>-43097.424764065305</v>
      </c>
      <c r="L99" s="4">
        <v>73</v>
      </c>
      <c r="M99" s="4">
        <v>657553.17082183971</v>
      </c>
      <c r="N99" s="4">
        <v>-41483.760821839678</v>
      </c>
      <c r="W99" s="4">
        <v>73</v>
      </c>
      <c r="X99" s="4">
        <v>659407.29363010323</v>
      </c>
      <c r="Y99" s="4">
        <v>-43337.883630103199</v>
      </c>
      <c r="AH99" s="4">
        <v>73</v>
      </c>
      <c r="AI99" s="4">
        <v>659579.41353747505</v>
      </c>
      <c r="AJ99" s="4">
        <v>-43510.003537475015</v>
      </c>
    </row>
    <row r="100" spans="1:36">
      <c r="A100" s="4">
        <v>74</v>
      </c>
      <c r="B100" s="4">
        <v>675269.53342062281</v>
      </c>
      <c r="C100" s="4">
        <v>-44439.59342062287</v>
      </c>
      <c r="L100" s="4">
        <v>74</v>
      </c>
      <c r="M100" s="4">
        <v>689770.43288043397</v>
      </c>
      <c r="N100" s="4">
        <v>-58940.492880434031</v>
      </c>
      <c r="W100" s="4">
        <v>74</v>
      </c>
      <c r="X100" s="4">
        <v>688679.41957525967</v>
      </c>
      <c r="Y100" s="4">
        <v>-57849.479575259727</v>
      </c>
      <c r="AH100" s="4">
        <v>74</v>
      </c>
      <c r="AI100" s="4">
        <v>694621.15820525796</v>
      </c>
      <c r="AJ100" s="4">
        <v>-63791.218205258017</v>
      </c>
    </row>
    <row r="101" spans="1:36">
      <c r="A101" s="4">
        <v>75</v>
      </c>
      <c r="B101" s="4">
        <v>710155.93829665345</v>
      </c>
      <c r="C101" s="4">
        <v>77931.741703346604</v>
      </c>
      <c r="L101" s="4">
        <v>75</v>
      </c>
      <c r="M101" s="4">
        <v>689235.26241434435</v>
      </c>
      <c r="N101" s="4">
        <v>98852.417585655698</v>
      </c>
      <c r="W101" s="4">
        <v>75</v>
      </c>
      <c r="X101" s="4">
        <v>673141.60864702496</v>
      </c>
      <c r="Y101" s="4">
        <v>114946.07135297509</v>
      </c>
      <c r="AH101" s="4">
        <v>75</v>
      </c>
      <c r="AI101" s="4">
        <v>691294.41029375955</v>
      </c>
      <c r="AJ101" s="4">
        <v>96793.269706240506</v>
      </c>
    </row>
    <row r="102" spans="1:36">
      <c r="A102" s="4">
        <v>76</v>
      </c>
      <c r="B102" s="4">
        <v>685889.10800246825</v>
      </c>
      <c r="C102" s="4">
        <v>-5048.7480024682591</v>
      </c>
      <c r="L102" s="4">
        <v>76</v>
      </c>
      <c r="M102" s="4">
        <v>740825.69534538244</v>
      </c>
      <c r="N102" s="4">
        <v>-59985.335345382453</v>
      </c>
      <c r="W102" s="4">
        <v>76</v>
      </c>
      <c r="X102" s="4">
        <v>669673.34727911546</v>
      </c>
      <c r="Y102" s="4">
        <v>11167.012720884522</v>
      </c>
      <c r="AH102" s="4">
        <v>76</v>
      </c>
      <c r="AI102" s="4">
        <v>673773.53795986809</v>
      </c>
      <c r="AJ102" s="4">
        <v>7066.8220401318977</v>
      </c>
    </row>
    <row r="103" spans="1:36">
      <c r="A103" s="4">
        <v>77</v>
      </c>
      <c r="B103" s="4">
        <v>682106.02391177125</v>
      </c>
      <c r="C103" s="4">
        <v>-38448.553911771276</v>
      </c>
      <c r="L103" s="4">
        <v>77</v>
      </c>
      <c r="M103" s="4">
        <v>684097.62593988422</v>
      </c>
      <c r="N103" s="4">
        <v>-40440.155939884251</v>
      </c>
      <c r="W103" s="4">
        <v>77</v>
      </c>
      <c r="X103" s="4">
        <v>683962.58411490265</v>
      </c>
      <c r="Y103" s="4">
        <v>-40305.114114902681</v>
      </c>
      <c r="AH103" s="4">
        <v>77</v>
      </c>
      <c r="AI103" s="4">
        <v>657139.79840237624</v>
      </c>
      <c r="AJ103" s="4">
        <v>-13482.328402376268</v>
      </c>
    </row>
    <row r="104" spans="1:36">
      <c r="A104" s="4">
        <v>78</v>
      </c>
      <c r="B104" s="4">
        <v>677633.14907671465</v>
      </c>
      <c r="C104" s="4">
        <v>13479.450923285331</v>
      </c>
      <c r="L104" s="4">
        <v>78</v>
      </c>
      <c r="M104" s="4">
        <v>659123.00418903586</v>
      </c>
      <c r="N104" s="4">
        <v>31989.595810964121</v>
      </c>
      <c r="W104" s="4">
        <v>78</v>
      </c>
      <c r="X104" s="4">
        <v>688956.8804846924</v>
      </c>
      <c r="Y104" s="4">
        <v>2155.7195153075736</v>
      </c>
      <c r="AH104" s="4">
        <v>78</v>
      </c>
      <c r="AI104" s="4">
        <v>674217.10434806789</v>
      </c>
      <c r="AJ104" s="4">
        <v>16895.495651932084</v>
      </c>
    </row>
    <row r="105" spans="1:36">
      <c r="A105" s="4">
        <v>79</v>
      </c>
      <c r="B105" s="4">
        <v>732341.91794674413</v>
      </c>
      <c r="C105" s="4">
        <v>44580.252053255914</v>
      </c>
      <c r="L105" s="4">
        <v>79</v>
      </c>
      <c r="M105" s="4">
        <v>712925.47504657763</v>
      </c>
      <c r="N105" s="4">
        <v>63996.694953422411</v>
      </c>
      <c r="W105" s="4">
        <v>79</v>
      </c>
      <c r="X105" s="4">
        <v>673973.99137532327</v>
      </c>
      <c r="Y105" s="4">
        <v>102948.17862467677</v>
      </c>
      <c r="AH105" s="4">
        <v>79</v>
      </c>
      <c r="AI105" s="4">
        <v>670003.22366016987</v>
      </c>
      <c r="AJ105" s="4">
        <v>106918.94633983017</v>
      </c>
    </row>
    <row r="106" spans="1:36">
      <c r="A106" s="4">
        <v>80</v>
      </c>
      <c r="B106" s="4">
        <v>726884.00804391084</v>
      </c>
      <c r="C106" s="4">
        <v>-90322.668043910875</v>
      </c>
      <c r="L106" s="4">
        <v>80</v>
      </c>
      <c r="M106" s="4">
        <v>659551.14056190755</v>
      </c>
      <c r="N106" s="4">
        <v>-22989.800561907585</v>
      </c>
      <c r="W106" s="4">
        <v>80</v>
      </c>
      <c r="X106" s="4">
        <v>662875.55499801284</v>
      </c>
      <c r="Y106" s="4">
        <v>-26314.214998012874</v>
      </c>
      <c r="AH106" s="4">
        <v>80</v>
      </c>
      <c r="AI106" s="4">
        <v>665123.99338997225</v>
      </c>
      <c r="AJ106" s="4">
        <v>-28562.653389972285</v>
      </c>
    </row>
    <row r="107" spans="1:36">
      <c r="A107" s="4">
        <v>81</v>
      </c>
      <c r="B107" s="4">
        <v>690428.04226418666</v>
      </c>
      <c r="C107" s="4">
        <v>-69058.462264186703</v>
      </c>
      <c r="L107" s="4">
        <v>81</v>
      </c>
      <c r="M107" s="4">
        <v>639428.73103693826</v>
      </c>
      <c r="N107" s="4">
        <v>-18059.151036938303</v>
      </c>
      <c r="W107" s="4">
        <v>81</v>
      </c>
      <c r="X107" s="4">
        <v>673002.87819230859</v>
      </c>
      <c r="Y107" s="4">
        <v>-51633.298192308634</v>
      </c>
      <c r="AH107" s="4">
        <v>81</v>
      </c>
      <c r="AI107" s="4">
        <v>670890.35643656948</v>
      </c>
      <c r="AJ107" s="4">
        <v>-49520.776436569518</v>
      </c>
    </row>
    <row r="108" spans="1:36">
      <c r="A108" s="4">
        <v>82</v>
      </c>
      <c r="B108" s="4">
        <v>689890.04764917761</v>
      </c>
      <c r="C108" s="4">
        <v>-7682.0376491775969</v>
      </c>
      <c r="L108" s="4">
        <v>82</v>
      </c>
      <c r="M108" s="4">
        <v>605213.49923827616</v>
      </c>
      <c r="N108" s="4">
        <v>76994.510761723854</v>
      </c>
      <c r="W108" s="4">
        <v>82</v>
      </c>
      <c r="X108" s="4">
        <v>684656.2363884846</v>
      </c>
      <c r="Y108" s="4">
        <v>-2448.2263884845888</v>
      </c>
      <c r="AH108" s="4">
        <v>82</v>
      </c>
      <c r="AI108" s="4">
        <v>683531.99850026332</v>
      </c>
      <c r="AJ108" s="4">
        <v>-1323.9885002633091</v>
      </c>
    </row>
    <row r="109" spans="1:36">
      <c r="A109" s="4">
        <v>83</v>
      </c>
      <c r="B109" s="4">
        <v>715663.78674091864</v>
      </c>
      <c r="C109" s="4">
        <v>11578.073259081342</v>
      </c>
      <c r="L109" s="4">
        <v>83</v>
      </c>
      <c r="M109" s="4">
        <v>612099.35923529579</v>
      </c>
      <c r="N109" s="4">
        <v>115142.50076470419</v>
      </c>
      <c r="W109" s="4">
        <v>83</v>
      </c>
      <c r="X109" s="4">
        <v>686182.27139036474</v>
      </c>
      <c r="Y109" s="4">
        <v>41059.588609635248</v>
      </c>
      <c r="AH109" s="4">
        <v>83</v>
      </c>
      <c r="AI109" s="4">
        <v>677987.418647766</v>
      </c>
      <c r="AJ109" s="4">
        <v>49254.441352233989</v>
      </c>
    </row>
    <row r="110" spans="1:36">
      <c r="A110" s="4">
        <v>84</v>
      </c>
      <c r="B110" s="4">
        <v>638455.11752175866</v>
      </c>
      <c r="C110" s="4">
        <v>-69354.337521758629</v>
      </c>
      <c r="L110" s="4">
        <v>84</v>
      </c>
      <c r="M110" s="4">
        <v>573388.69552148087</v>
      </c>
      <c r="N110" s="4">
        <v>-4287.9155214808416</v>
      </c>
      <c r="W110" s="4">
        <v>84</v>
      </c>
      <c r="X110" s="4">
        <v>693673.71594504931</v>
      </c>
      <c r="Y110" s="4">
        <v>-124572.93594504928</v>
      </c>
      <c r="AH110" s="4">
        <v>84</v>
      </c>
      <c r="AI110" s="4">
        <v>670225.00685426989</v>
      </c>
      <c r="AJ110" s="4">
        <v>-101124.22685426986</v>
      </c>
    </row>
    <row r="111" spans="1:36">
      <c r="A111" s="4">
        <v>85</v>
      </c>
      <c r="B111" s="4">
        <v>678730.49794726842</v>
      </c>
      <c r="C111" s="4">
        <v>-104294.20794726838</v>
      </c>
      <c r="L111" s="4">
        <v>85</v>
      </c>
      <c r="M111" s="4">
        <v>556691.37697948515</v>
      </c>
      <c r="N111" s="4">
        <v>17744.913020514883</v>
      </c>
      <c r="W111" s="4">
        <v>85</v>
      </c>
      <c r="X111" s="4">
        <v>682852.74047717161</v>
      </c>
      <c r="Y111" s="4">
        <v>-108416.45047717157</v>
      </c>
      <c r="AH111" s="4">
        <v>85</v>
      </c>
      <c r="AI111" s="4">
        <v>674217.10434806789</v>
      </c>
      <c r="AJ111" s="4">
        <v>-99780.814348067855</v>
      </c>
    </row>
    <row r="112" spans="1:36">
      <c r="A112" s="4">
        <v>86</v>
      </c>
      <c r="B112" s="4">
        <v>749125.01592046651</v>
      </c>
      <c r="C112" s="4">
        <v>-137358.29592046654</v>
      </c>
      <c r="L112" s="4">
        <v>86</v>
      </c>
      <c r="M112" s="4">
        <v>589265.41934880579</v>
      </c>
      <c r="N112" s="4">
        <v>22501.300651194178</v>
      </c>
      <c r="W112" s="4">
        <v>86</v>
      </c>
      <c r="X112" s="4">
        <v>669257.15591496637</v>
      </c>
      <c r="Y112" s="4">
        <v>-57490.435914966394</v>
      </c>
      <c r="AH112" s="4">
        <v>86</v>
      </c>
      <c r="AI112" s="4">
        <v>688633.01196456084</v>
      </c>
      <c r="AJ112" s="4">
        <v>-76866.291964560864</v>
      </c>
    </row>
    <row r="113" spans="1:36">
      <c r="A113" s="4">
        <v>87</v>
      </c>
      <c r="B113" s="4">
        <v>727378.09081566497</v>
      </c>
      <c r="C113" s="4">
        <v>-112781.77081566502</v>
      </c>
      <c r="L113" s="4">
        <v>87</v>
      </c>
      <c r="M113" s="4">
        <v>581558.96463711548</v>
      </c>
      <c r="N113" s="4">
        <v>33037.355362884467</v>
      </c>
      <c r="W113" s="4">
        <v>87</v>
      </c>
      <c r="X113" s="4">
        <v>689650.53275827423</v>
      </c>
      <c r="Y113" s="4">
        <v>-75054.212758274283</v>
      </c>
      <c r="AH113" s="4">
        <v>87</v>
      </c>
      <c r="AI113" s="4">
        <v>681092.38336516451</v>
      </c>
      <c r="AJ113" s="4">
        <v>-66496.063365164562</v>
      </c>
    </row>
    <row r="114" spans="1:36">
      <c r="A114" s="4">
        <v>88</v>
      </c>
      <c r="B114" s="4">
        <v>601231.43983643828</v>
      </c>
      <c r="C114" s="4">
        <v>-150519.5198364383</v>
      </c>
      <c r="L114" s="4">
        <v>88</v>
      </c>
      <c r="M114" s="4">
        <v>491364.9020854804</v>
      </c>
      <c r="N114" s="4">
        <v>-40652.982085480413</v>
      </c>
      <c r="W114" s="4">
        <v>88</v>
      </c>
      <c r="X114" s="4">
        <v>677719.71365266549</v>
      </c>
      <c r="Y114" s="4">
        <v>-227007.79365266551</v>
      </c>
      <c r="AH114" s="4">
        <v>88</v>
      </c>
      <c r="AI114" s="4">
        <v>676434.9362890668</v>
      </c>
      <c r="AJ114" s="4">
        <v>-225723.01628906681</v>
      </c>
    </row>
    <row r="115" spans="1:36">
      <c r="A115" s="4">
        <v>89</v>
      </c>
      <c r="B115" s="4">
        <v>668359.10407410027</v>
      </c>
      <c r="C115" s="4">
        <v>42854.355925899697</v>
      </c>
      <c r="L115" s="4">
        <v>89</v>
      </c>
      <c r="M115" s="4">
        <v>697013.07318817999</v>
      </c>
      <c r="N115" s="4">
        <v>14200.386811819975</v>
      </c>
      <c r="W115" s="4">
        <v>89</v>
      </c>
      <c r="X115" s="4">
        <v>693812.44639976567</v>
      </c>
      <c r="Y115" s="4">
        <v>17401.013600234292</v>
      </c>
      <c r="AH115" s="4">
        <v>89</v>
      </c>
      <c r="AI115" s="4">
        <v>660466.54631387466</v>
      </c>
      <c r="AJ115" s="4">
        <v>50746.913686125306</v>
      </c>
    </row>
    <row r="116" spans="1:36">
      <c r="A116" s="4">
        <v>90</v>
      </c>
      <c r="B116" s="4">
        <v>862198.05489334627</v>
      </c>
      <c r="C116" s="4">
        <v>-235026.15489334625</v>
      </c>
      <c r="L116" s="4">
        <v>90</v>
      </c>
      <c r="M116" s="4">
        <v>639071.95072621189</v>
      </c>
      <c r="N116" s="4">
        <v>-11900.050726211863</v>
      </c>
      <c r="W116" s="4">
        <v>90</v>
      </c>
      <c r="X116" s="4">
        <v>696032.13367522776</v>
      </c>
      <c r="Y116" s="4">
        <v>-68860.233675227733</v>
      </c>
      <c r="AH116" s="4">
        <v>90</v>
      </c>
      <c r="AI116" s="4">
        <v>677765.63545366609</v>
      </c>
      <c r="AJ116" s="4">
        <v>-50593.735453666071</v>
      </c>
    </row>
    <row r="117" spans="1:36">
      <c r="A117" s="4">
        <v>91</v>
      </c>
      <c r="B117" s="4">
        <v>735649.95766911563</v>
      </c>
      <c r="C117" s="4">
        <v>4202.6223308843328</v>
      </c>
      <c r="L117" s="4">
        <v>91</v>
      </c>
      <c r="M117" s="4">
        <v>660050.63299692445</v>
      </c>
      <c r="N117" s="4">
        <v>79801.947003075504</v>
      </c>
      <c r="W117" s="4">
        <v>91</v>
      </c>
      <c r="X117" s="4">
        <v>692286.41139788553</v>
      </c>
      <c r="Y117" s="4">
        <v>47566.168602114427</v>
      </c>
      <c r="AH117" s="4">
        <v>91</v>
      </c>
      <c r="AI117" s="4">
        <v>688411.22877046093</v>
      </c>
      <c r="AJ117" s="4">
        <v>51441.351229539025</v>
      </c>
    </row>
    <row r="118" spans="1:36">
      <c r="A118" s="4">
        <v>92</v>
      </c>
      <c r="B118" s="4">
        <v>627236.08878094982</v>
      </c>
      <c r="C118" s="4">
        <v>-40928.868780949851</v>
      </c>
      <c r="L118" s="4">
        <v>92</v>
      </c>
      <c r="M118" s="4">
        <v>578454.97593379579</v>
      </c>
      <c r="N118" s="4">
        <v>7852.2440662041772</v>
      </c>
      <c r="W118" s="4">
        <v>92</v>
      </c>
      <c r="X118" s="4">
        <v>691870.22003373632</v>
      </c>
      <c r="Y118" s="4">
        <v>-105563.00003373635</v>
      </c>
      <c r="AH118" s="4">
        <v>92</v>
      </c>
      <c r="AI118" s="4">
        <v>672664.62198936869</v>
      </c>
      <c r="AJ118" s="4">
        <v>-86357.401989368722</v>
      </c>
    </row>
    <row r="119" spans="1:36">
      <c r="A119" s="4">
        <v>93</v>
      </c>
      <c r="B119" s="4">
        <v>643759.63411374553</v>
      </c>
      <c r="C119" s="4">
        <v>-57822.15411374555</v>
      </c>
      <c r="L119" s="4">
        <v>93</v>
      </c>
      <c r="M119" s="4">
        <v>607282.8250404892</v>
      </c>
      <c r="N119" s="4">
        <v>-21345.345040489221</v>
      </c>
      <c r="W119" s="4">
        <v>93</v>
      </c>
      <c r="X119" s="4">
        <v>670921.92137156287</v>
      </c>
      <c r="Y119" s="4">
        <v>-84984.441371562891</v>
      </c>
      <c r="AH119" s="4">
        <v>93</v>
      </c>
      <c r="AI119" s="4">
        <v>686858.74641176173</v>
      </c>
      <c r="AJ119" s="4">
        <v>-100921.26641176175</v>
      </c>
    </row>
    <row r="120" spans="1:36">
      <c r="A120" s="4">
        <v>94</v>
      </c>
      <c r="B120" s="4">
        <v>704394.41483936575</v>
      </c>
      <c r="C120" s="4">
        <v>49079.135160634294</v>
      </c>
      <c r="L120" s="4">
        <v>94</v>
      </c>
      <c r="M120" s="4">
        <v>677497.19019144564</v>
      </c>
      <c r="N120" s="4">
        <v>75976.359808554407</v>
      </c>
      <c r="W120" s="4">
        <v>94</v>
      </c>
      <c r="X120" s="4">
        <v>697835.62958654074</v>
      </c>
      <c r="Y120" s="4">
        <v>55637.920413459302</v>
      </c>
      <c r="AH120" s="4">
        <v>94</v>
      </c>
      <c r="AI120" s="4">
        <v>686415.18002356193</v>
      </c>
      <c r="AJ120" s="4">
        <v>67058.369976438116</v>
      </c>
    </row>
    <row r="121" spans="1:36">
      <c r="A121" s="4">
        <v>95</v>
      </c>
      <c r="B121" s="4">
        <v>744819.24886136584</v>
      </c>
      <c r="C121" s="4">
        <v>93431.071138634114</v>
      </c>
      <c r="L121" s="4">
        <v>95</v>
      </c>
      <c r="M121" s="4">
        <v>730764.49058289791</v>
      </c>
      <c r="N121" s="4">
        <v>107485.82941710204</v>
      </c>
      <c r="W121" s="4">
        <v>95</v>
      </c>
      <c r="X121" s="4">
        <v>687708.30639224499</v>
      </c>
      <c r="Y121" s="4">
        <v>150542.01360775495</v>
      </c>
      <c r="AH121" s="4">
        <v>95</v>
      </c>
      <c r="AI121" s="4">
        <v>687302.31279996154</v>
      </c>
      <c r="AJ121" s="4">
        <v>150948.00720003841</v>
      </c>
    </row>
    <row r="122" spans="1:36">
      <c r="A122" s="4">
        <v>96</v>
      </c>
      <c r="B122" s="4">
        <v>581082.10084664135</v>
      </c>
      <c r="C122" s="4">
        <v>26816.019153358648</v>
      </c>
      <c r="L122" s="4">
        <v>96</v>
      </c>
      <c r="M122" s="4">
        <v>662512.41714093671</v>
      </c>
      <c r="N122" s="4">
        <v>-54614.297140936716</v>
      </c>
      <c r="W122" s="4">
        <v>96</v>
      </c>
      <c r="X122" s="4">
        <v>687569.57593752863</v>
      </c>
      <c r="Y122" s="4">
        <v>-79671.455937528634</v>
      </c>
      <c r="AH122" s="4">
        <v>96</v>
      </c>
      <c r="AI122" s="4">
        <v>693512.24223475845</v>
      </c>
      <c r="AJ122" s="4">
        <v>-85614.122234758455</v>
      </c>
    </row>
    <row r="123" spans="1:36">
      <c r="A123" s="4">
        <v>97</v>
      </c>
      <c r="B123" s="4">
        <v>690962.69344593131</v>
      </c>
      <c r="C123" s="4">
        <v>150.92655406869017</v>
      </c>
      <c r="L123" s="4">
        <v>97</v>
      </c>
      <c r="M123" s="4">
        <v>674535.91361241648</v>
      </c>
      <c r="N123" s="4">
        <v>16577.706387583516</v>
      </c>
      <c r="W123" s="4">
        <v>97</v>
      </c>
      <c r="X123" s="4">
        <v>675222.56546777068</v>
      </c>
      <c r="Y123" s="4">
        <v>15891.054532229318</v>
      </c>
      <c r="AH123" s="4">
        <v>97</v>
      </c>
      <c r="AI123" s="4">
        <v>686636.96321766183</v>
      </c>
      <c r="AJ123" s="4">
        <v>4476.6567823381629</v>
      </c>
    </row>
    <row r="124" spans="1:36">
      <c r="A124" s="4">
        <v>98</v>
      </c>
      <c r="B124" s="4">
        <v>728671.76523566921</v>
      </c>
      <c r="C124" s="4">
        <v>6837.6347643308109</v>
      </c>
      <c r="L124" s="4">
        <v>98</v>
      </c>
      <c r="M124" s="4">
        <v>630152.4429580518</v>
      </c>
      <c r="N124" s="4">
        <v>105356.95704194822</v>
      </c>
      <c r="W124" s="4">
        <v>98</v>
      </c>
      <c r="X124" s="4">
        <v>674112.72183003963</v>
      </c>
      <c r="Y124" s="4">
        <v>61396.678169960389</v>
      </c>
      <c r="AH124" s="4">
        <v>98</v>
      </c>
      <c r="AI124" s="4">
        <v>675104.2371244675</v>
      </c>
      <c r="AJ124" s="4">
        <v>60405.162875532522</v>
      </c>
    </row>
    <row r="125" spans="1:36">
      <c r="A125" s="4">
        <v>99</v>
      </c>
      <c r="B125" s="4">
        <v>643304.35220446019</v>
      </c>
      <c r="C125" s="4">
        <v>-37529.022204460227</v>
      </c>
      <c r="L125" s="4">
        <v>99</v>
      </c>
      <c r="M125" s="4">
        <v>614525.46534823533</v>
      </c>
      <c r="N125" s="4">
        <v>-8750.1353482353734</v>
      </c>
      <c r="W125" s="4">
        <v>99</v>
      </c>
      <c r="X125" s="4">
        <v>687430.84548281215</v>
      </c>
      <c r="Y125" s="4">
        <v>-81655.515482812189</v>
      </c>
      <c r="AH125" s="4">
        <v>99</v>
      </c>
      <c r="AI125" s="4">
        <v>683753.78169436322</v>
      </c>
      <c r="AJ125" s="4">
        <v>-77978.451694363263</v>
      </c>
    </row>
    <row r="126" spans="1:36">
      <c r="A126" s="4">
        <v>100</v>
      </c>
      <c r="B126" s="4">
        <v>678119.2885324969</v>
      </c>
      <c r="C126" s="4">
        <v>-2941.6085324968444</v>
      </c>
      <c r="L126" s="4">
        <v>100</v>
      </c>
      <c r="M126" s="4">
        <v>634826.26502856775</v>
      </c>
      <c r="N126" s="4">
        <v>40351.414971432299</v>
      </c>
      <c r="W126" s="4">
        <v>100</v>
      </c>
      <c r="X126" s="4">
        <v>671615.57364514482</v>
      </c>
      <c r="Y126" s="4">
        <v>3562.1063548552338</v>
      </c>
      <c r="AH126" s="4">
        <v>100</v>
      </c>
      <c r="AI126" s="4">
        <v>686636.96321766183</v>
      </c>
      <c r="AJ126" s="4">
        <v>-11459.283217661781</v>
      </c>
    </row>
    <row r="127" spans="1:36">
      <c r="A127" s="4">
        <v>101</v>
      </c>
      <c r="B127" s="4">
        <v>673825.3406164645</v>
      </c>
      <c r="C127" s="4">
        <v>-38643.990616464522</v>
      </c>
      <c r="L127" s="4">
        <v>101</v>
      </c>
      <c r="M127" s="4">
        <v>576349.97210051003</v>
      </c>
      <c r="N127" s="4">
        <v>58831.377899489948</v>
      </c>
      <c r="W127" s="4">
        <v>101</v>
      </c>
      <c r="X127" s="4">
        <v>677026.06137908367</v>
      </c>
      <c r="Y127" s="4">
        <v>-41844.711379083688</v>
      </c>
      <c r="AH127" s="4">
        <v>101</v>
      </c>
      <c r="AI127" s="4">
        <v>687524.09599406144</v>
      </c>
      <c r="AJ127" s="4">
        <v>-52342.745994061464</v>
      </c>
    </row>
    <row r="128" spans="1:36">
      <c r="A128" s="4">
        <v>102</v>
      </c>
      <c r="B128" s="4">
        <v>695156.93464512611</v>
      </c>
      <c r="C128" s="4">
        <v>-108529.99464512616</v>
      </c>
      <c r="L128" s="4">
        <v>102</v>
      </c>
      <c r="M128" s="4">
        <v>602430.61281461013</v>
      </c>
      <c r="N128" s="4">
        <v>-15803.672814610181</v>
      </c>
      <c r="W128" s="4">
        <v>102</v>
      </c>
      <c r="X128" s="4">
        <v>673835.2609206069</v>
      </c>
      <c r="Y128" s="4">
        <v>-87208.320920606959</v>
      </c>
      <c r="AH128" s="4">
        <v>102</v>
      </c>
      <c r="AI128" s="4">
        <v>685306.26405306254</v>
      </c>
      <c r="AJ128" s="4">
        <v>-98679.324053062592</v>
      </c>
    </row>
    <row r="129" spans="1:36">
      <c r="A129" s="4">
        <v>103</v>
      </c>
      <c r="B129" s="4">
        <v>752618.8610901701</v>
      </c>
      <c r="C129" s="4">
        <v>-12516.221090170089</v>
      </c>
      <c r="L129" s="4">
        <v>103</v>
      </c>
      <c r="M129" s="4">
        <v>690162.89122223307</v>
      </c>
      <c r="N129" s="4">
        <v>49939.748777766945</v>
      </c>
      <c r="W129" s="4">
        <v>103</v>
      </c>
      <c r="X129" s="4">
        <v>672170.49546401028</v>
      </c>
      <c r="Y129" s="4">
        <v>67932.144535989733</v>
      </c>
      <c r="AH129" s="4">
        <v>103</v>
      </c>
      <c r="AI129" s="4">
        <v>663349.72783717315</v>
      </c>
      <c r="AJ129" s="4">
        <v>76752.912162826862</v>
      </c>
    </row>
    <row r="130" spans="1:36">
      <c r="A130" s="4">
        <v>104</v>
      </c>
      <c r="B130" s="4">
        <v>629491.58589766012</v>
      </c>
      <c r="C130" s="4">
        <v>-3977.5458976600785</v>
      </c>
      <c r="L130" s="4">
        <v>104</v>
      </c>
      <c r="M130" s="4">
        <v>532537.34994330746</v>
      </c>
      <c r="N130" s="4">
        <v>92976.690056692576</v>
      </c>
      <c r="W130" s="4">
        <v>104</v>
      </c>
      <c r="X130" s="4">
        <v>686737.19320923032</v>
      </c>
      <c r="Y130" s="4">
        <v>-61223.15320923028</v>
      </c>
      <c r="AH130" s="4">
        <v>104</v>
      </c>
      <c r="AI130" s="4">
        <v>689076.57835276064</v>
      </c>
      <c r="AJ130" s="4">
        <v>-63562.538352760603</v>
      </c>
    </row>
    <row r="131" spans="1:36">
      <c r="A131" s="4">
        <v>105</v>
      </c>
      <c r="B131" s="4">
        <v>684120.36791838519</v>
      </c>
      <c r="C131" s="4">
        <v>43106.832081614761</v>
      </c>
      <c r="L131" s="4">
        <v>105</v>
      </c>
      <c r="M131" s="4">
        <v>709500.38406360417</v>
      </c>
      <c r="N131" s="4">
        <v>17726.815936395782</v>
      </c>
      <c r="W131" s="4">
        <v>105</v>
      </c>
      <c r="X131" s="4">
        <v>683546.39275075356</v>
      </c>
      <c r="Y131" s="4">
        <v>43680.807249246398</v>
      </c>
      <c r="AH131" s="4">
        <v>105</v>
      </c>
      <c r="AI131" s="4">
        <v>667341.82533097127</v>
      </c>
      <c r="AJ131" s="4">
        <v>59885.374669028679</v>
      </c>
    </row>
    <row r="132" spans="1:36">
      <c r="A132" s="4">
        <v>106</v>
      </c>
      <c r="B132" s="4">
        <v>719812.6466898825</v>
      </c>
      <c r="C132" s="4">
        <v>63985.243310117512</v>
      </c>
      <c r="L132" s="4">
        <v>106</v>
      </c>
      <c r="M132" s="4">
        <v>758200.89647775842</v>
      </c>
      <c r="N132" s="4">
        <v>25596.993522241595</v>
      </c>
      <c r="W132" s="4">
        <v>106</v>
      </c>
      <c r="X132" s="4">
        <v>690066.72412242345</v>
      </c>
      <c r="Y132" s="4">
        <v>93731.165877576568</v>
      </c>
      <c r="AH132" s="4">
        <v>106</v>
      </c>
      <c r="AI132" s="4">
        <v>688411.22877046093</v>
      </c>
      <c r="AJ132" s="4">
        <v>95386.661229539081</v>
      </c>
    </row>
    <row r="133" spans="1:36">
      <c r="A133" s="4">
        <v>107</v>
      </c>
      <c r="B133" s="4">
        <v>697696.75136382284</v>
      </c>
      <c r="C133" s="4">
        <v>97457.088636177126</v>
      </c>
      <c r="L133" s="4">
        <v>107</v>
      </c>
      <c r="M133" s="4">
        <v>695871.37619385554</v>
      </c>
      <c r="N133" s="4">
        <v>99282.463806144428</v>
      </c>
      <c r="W133" s="4">
        <v>107</v>
      </c>
      <c r="X133" s="4">
        <v>679384.47910926212</v>
      </c>
      <c r="Y133" s="4">
        <v>115769.36089073785</v>
      </c>
      <c r="AH133" s="4">
        <v>107</v>
      </c>
      <c r="AI133" s="4">
        <v>693512.24223475845</v>
      </c>
      <c r="AJ133" s="4">
        <v>101641.59776524152</v>
      </c>
    </row>
    <row r="134" spans="1:36">
      <c r="A134" s="4">
        <v>108</v>
      </c>
      <c r="B134" s="4">
        <v>626883.68665574025</v>
      </c>
      <c r="C134" s="4">
        <v>38711.25334425969</v>
      </c>
      <c r="L134" s="4">
        <v>108</v>
      </c>
      <c r="M134" s="4">
        <v>699974.34976720915</v>
      </c>
      <c r="N134" s="4">
        <v>-34379.409767209203</v>
      </c>
      <c r="W134" s="4">
        <v>108</v>
      </c>
      <c r="X134" s="4">
        <v>690760.37639600527</v>
      </c>
      <c r="Y134" s="4">
        <v>-25165.436396005331</v>
      </c>
      <c r="AH134" s="4">
        <v>108</v>
      </c>
      <c r="AI134" s="4">
        <v>677765.63545366609</v>
      </c>
      <c r="AJ134" s="4">
        <v>-12170.695453666151</v>
      </c>
    </row>
    <row r="135" spans="1:36">
      <c r="A135" s="4">
        <v>109</v>
      </c>
      <c r="B135" s="4">
        <v>721059.87507199205</v>
      </c>
      <c r="C135" s="4">
        <v>-11581.485071992036</v>
      </c>
      <c r="L135" s="4">
        <v>109</v>
      </c>
      <c r="M135" s="4">
        <v>695264.8496656206</v>
      </c>
      <c r="N135" s="4">
        <v>14213.540334379417</v>
      </c>
      <c r="W135" s="4">
        <v>109</v>
      </c>
      <c r="X135" s="4">
        <v>676054.94819606899</v>
      </c>
      <c r="Y135" s="4">
        <v>33423.441803931026</v>
      </c>
      <c r="AH135" s="4">
        <v>109</v>
      </c>
      <c r="AI135" s="4">
        <v>648490.2538324804</v>
      </c>
      <c r="AJ135" s="4">
        <v>60988.136167519609</v>
      </c>
    </row>
    <row r="136" spans="1:36">
      <c r="A136" s="4">
        <v>110</v>
      </c>
      <c r="B136" s="4">
        <v>708594.78921550396</v>
      </c>
      <c r="C136" s="4">
        <v>-44432.299215503968</v>
      </c>
      <c r="L136" s="4">
        <v>110</v>
      </c>
      <c r="M136" s="4">
        <v>642390.00761596742</v>
      </c>
      <c r="N136" s="4">
        <v>21772.48238403257</v>
      </c>
      <c r="W136" s="4">
        <v>110</v>
      </c>
      <c r="X136" s="4">
        <v>657326.33680935763</v>
      </c>
      <c r="Y136" s="4">
        <v>6836.1531906423625</v>
      </c>
      <c r="AH136" s="4">
        <v>110</v>
      </c>
      <c r="AI136" s="4">
        <v>676656.7194831667</v>
      </c>
      <c r="AJ136" s="4">
        <v>-12494.22948316671</v>
      </c>
    </row>
    <row r="137" spans="1:36">
      <c r="A137" s="4">
        <v>111</v>
      </c>
      <c r="B137" s="4">
        <v>669505.26281116251</v>
      </c>
      <c r="C137" s="4">
        <v>-36011.052811162546</v>
      </c>
      <c r="L137" s="4">
        <v>111</v>
      </c>
      <c r="M137" s="4">
        <v>649275.86761298706</v>
      </c>
      <c r="N137" s="4">
        <v>-15781.657612987095</v>
      </c>
      <c r="W137" s="4">
        <v>111</v>
      </c>
      <c r="X137" s="4">
        <v>685488.61911678291</v>
      </c>
      <c r="Y137" s="4">
        <v>-51994.409116782947</v>
      </c>
      <c r="AH137" s="4">
        <v>111</v>
      </c>
      <c r="AI137" s="4">
        <v>684197.34808256302</v>
      </c>
      <c r="AJ137" s="4">
        <v>-50703.138082563062</v>
      </c>
    </row>
    <row r="138" spans="1:36">
      <c r="A138" s="4">
        <v>112</v>
      </c>
      <c r="B138" s="4">
        <v>673129.50187817449</v>
      </c>
      <c r="C138" s="4">
        <v>40481.658121825545</v>
      </c>
      <c r="L138" s="4">
        <v>112</v>
      </c>
      <c r="M138" s="4">
        <v>591370.42318209168</v>
      </c>
      <c r="N138" s="4">
        <v>122240.73681790836</v>
      </c>
      <c r="W138" s="4">
        <v>112</v>
      </c>
      <c r="X138" s="4">
        <v>689927.99366770708</v>
      </c>
      <c r="Y138" s="4">
        <v>23683.166332292953</v>
      </c>
      <c r="AH138" s="4">
        <v>112</v>
      </c>
      <c r="AI138" s="4">
        <v>688189.44557636115</v>
      </c>
      <c r="AJ138" s="4">
        <v>25421.714423638885</v>
      </c>
    </row>
    <row r="139" spans="1:36">
      <c r="A139" s="4">
        <v>113</v>
      </c>
      <c r="B139" s="4">
        <v>691588.72470498295</v>
      </c>
      <c r="C139" s="4">
        <v>86809.245295017026</v>
      </c>
      <c r="L139" s="4">
        <v>113</v>
      </c>
      <c r="M139" s="4">
        <v>766299.80953124771</v>
      </c>
      <c r="N139" s="4">
        <v>12098.160468752263</v>
      </c>
      <c r="W139" s="4">
        <v>113</v>
      </c>
      <c r="X139" s="4">
        <v>673835.2609206069</v>
      </c>
      <c r="Y139" s="4">
        <v>104562.70907939307</v>
      </c>
      <c r="AH139" s="4">
        <v>113</v>
      </c>
      <c r="AI139" s="4">
        <v>654256.61687907763</v>
      </c>
      <c r="AJ139" s="4">
        <v>124141.35312092234</v>
      </c>
    </row>
    <row r="140" spans="1:36">
      <c r="A140" s="4">
        <v>114</v>
      </c>
      <c r="B140" s="4">
        <v>731518.90096989041</v>
      </c>
      <c r="C140" s="4">
        <v>141861.11903010961</v>
      </c>
      <c r="L140" s="4">
        <v>114</v>
      </c>
      <c r="M140" s="4">
        <v>784959.41978223878</v>
      </c>
      <c r="N140" s="4">
        <v>88420.600217761239</v>
      </c>
      <c r="W140" s="4">
        <v>114</v>
      </c>
      <c r="X140" s="4">
        <v>678135.90501681471</v>
      </c>
      <c r="Y140" s="4">
        <v>195244.11498318531</v>
      </c>
      <c r="AH140" s="4">
        <v>114</v>
      </c>
      <c r="AI140" s="4">
        <v>693955.80862295826</v>
      </c>
      <c r="AJ140" s="4">
        <v>179424.21137704176</v>
      </c>
    </row>
    <row r="141" spans="1:36">
      <c r="A141" s="4">
        <v>115</v>
      </c>
      <c r="B141" s="4">
        <v>632342.10765665222</v>
      </c>
      <c r="C141" s="4">
        <v>64945.792343347799</v>
      </c>
      <c r="L141" s="4">
        <v>115</v>
      </c>
      <c r="M141" s="4">
        <v>775540.41957906168</v>
      </c>
      <c r="N141" s="4">
        <v>-78252.519579061656</v>
      </c>
      <c r="W141" s="4">
        <v>115</v>
      </c>
      <c r="X141" s="4">
        <v>675777.48728663626</v>
      </c>
      <c r="Y141" s="4">
        <v>21510.412713363767</v>
      </c>
      <c r="AH141" s="4">
        <v>115</v>
      </c>
      <c r="AI141" s="4">
        <v>680870.60017106473</v>
      </c>
      <c r="AJ141" s="4">
        <v>16417.299828935298</v>
      </c>
    </row>
    <row r="142" spans="1:36">
      <c r="A142" s="4">
        <v>116</v>
      </c>
      <c r="B142" s="4">
        <v>616126.15818417352</v>
      </c>
      <c r="C142" s="4">
        <v>101948.63181582652</v>
      </c>
      <c r="L142" s="4">
        <v>116</v>
      </c>
      <c r="M142" s="4">
        <v>776396.69232480507</v>
      </c>
      <c r="N142" s="4">
        <v>-58321.902324805036</v>
      </c>
      <c r="W142" s="4">
        <v>116</v>
      </c>
      <c r="X142" s="4">
        <v>678552.09638096381</v>
      </c>
      <c r="Y142" s="4">
        <v>39522.693619036232</v>
      </c>
      <c r="AH142" s="4">
        <v>116</v>
      </c>
      <c r="AI142" s="4">
        <v>689963.71112916025</v>
      </c>
      <c r="AJ142" s="4">
        <v>28111.078870839789</v>
      </c>
    </row>
    <row r="143" spans="1:36">
      <c r="A143" s="4">
        <v>117</v>
      </c>
      <c r="B143" s="4">
        <v>653808.1417757445</v>
      </c>
      <c r="C143" s="4">
        <v>61134.28822425555</v>
      </c>
      <c r="L143" s="4">
        <v>117</v>
      </c>
      <c r="M143" s="4">
        <v>725448.46395307453</v>
      </c>
      <c r="N143" s="4">
        <v>-10506.033953074482</v>
      </c>
      <c r="W143" s="4">
        <v>117</v>
      </c>
      <c r="X143" s="4">
        <v>671476.84319042845</v>
      </c>
      <c r="Y143" s="4">
        <v>43465.5868095716</v>
      </c>
      <c r="AH143" s="4">
        <v>117</v>
      </c>
      <c r="AI143" s="4">
        <v>686636.96321766183</v>
      </c>
      <c r="AJ143" s="4">
        <v>28305.466782338219</v>
      </c>
    </row>
    <row r="144" spans="1:36">
      <c r="A144" s="4">
        <v>118</v>
      </c>
      <c r="B144" s="4">
        <v>682929.80753574288</v>
      </c>
      <c r="C144" s="4">
        <v>137589.23246425716</v>
      </c>
      <c r="L144" s="4">
        <v>118</v>
      </c>
      <c r="M144" s="4">
        <v>747319.0970006031</v>
      </c>
      <c r="N144" s="4">
        <v>73199.942999396939</v>
      </c>
      <c r="W144" s="4">
        <v>118</v>
      </c>
      <c r="X144" s="4">
        <v>676887.3309243673</v>
      </c>
      <c r="Y144" s="4">
        <v>143631.70907563274</v>
      </c>
      <c r="AH144" s="4">
        <v>118</v>
      </c>
      <c r="AI144" s="4">
        <v>671333.92282476928</v>
      </c>
      <c r="AJ144" s="4">
        <v>149185.11717523076</v>
      </c>
    </row>
    <row r="145" spans="1:36">
      <c r="A145" s="4">
        <v>119</v>
      </c>
      <c r="B145" s="4">
        <v>651104.2838695636</v>
      </c>
      <c r="C145" s="4">
        <v>33113.036130436347</v>
      </c>
      <c r="L145" s="4">
        <v>119</v>
      </c>
      <c r="M145" s="4">
        <v>750101.98342426901</v>
      </c>
      <c r="N145" s="4">
        <v>-65884.663424269063</v>
      </c>
      <c r="W145" s="4">
        <v>119</v>
      </c>
      <c r="X145" s="4">
        <v>679384.47910926212</v>
      </c>
      <c r="Y145" s="4">
        <v>4832.8408907378325</v>
      </c>
      <c r="AH145" s="4">
        <v>119</v>
      </c>
      <c r="AI145" s="4">
        <v>699500.38847545558</v>
      </c>
      <c r="AJ145" s="4">
        <v>-15283.068475455628</v>
      </c>
    </row>
    <row r="146" spans="1:36">
      <c r="A146" s="4">
        <v>120</v>
      </c>
      <c r="B146" s="4">
        <v>677837.92904021579</v>
      </c>
      <c r="C146" s="4">
        <v>57642.260959784151</v>
      </c>
      <c r="L146" s="4">
        <v>120</v>
      </c>
      <c r="M146" s="4">
        <v>725270.07379771117</v>
      </c>
      <c r="N146" s="4">
        <v>10210.116202288773</v>
      </c>
      <c r="W146" s="4">
        <v>120</v>
      </c>
      <c r="X146" s="4">
        <v>665650.16409234039</v>
      </c>
      <c r="Y146" s="4">
        <v>69830.025907659554</v>
      </c>
      <c r="AH146" s="4">
        <v>120</v>
      </c>
      <c r="AI146" s="4">
        <v>697060.77334035677</v>
      </c>
      <c r="AJ146" s="4">
        <v>38419.416659643175</v>
      </c>
    </row>
    <row r="147" spans="1:36">
      <c r="A147" s="4">
        <v>121</v>
      </c>
      <c r="B147" s="4">
        <v>654257.46087411267</v>
      </c>
      <c r="C147" s="4">
        <v>-144772.65087411267</v>
      </c>
      <c r="L147" s="4">
        <v>121</v>
      </c>
      <c r="M147" s="4">
        <v>583878.0366568371</v>
      </c>
      <c r="N147" s="4">
        <v>-74393.226656837098</v>
      </c>
      <c r="W147" s="4">
        <v>121</v>
      </c>
      <c r="X147" s="4">
        <v>685627.34957149928</v>
      </c>
      <c r="Y147" s="4">
        <v>-176142.53957149928</v>
      </c>
      <c r="AH147" s="4">
        <v>121</v>
      </c>
      <c r="AI147" s="4">
        <v>668894.30768967047</v>
      </c>
      <c r="AJ147" s="4">
        <v>-159409.49768967048</v>
      </c>
    </row>
    <row r="148" spans="1:36">
      <c r="A148" s="4">
        <v>122</v>
      </c>
      <c r="B148" s="4">
        <v>737626.1609816124</v>
      </c>
      <c r="C148" s="4">
        <v>-83309.070981612429</v>
      </c>
      <c r="L148" s="4">
        <v>122</v>
      </c>
      <c r="M148" s="4">
        <v>578205.22971628723</v>
      </c>
      <c r="N148" s="4">
        <v>76111.86028371274</v>
      </c>
      <c r="W148" s="4">
        <v>122</v>
      </c>
      <c r="X148" s="4">
        <v>697835.62958654074</v>
      </c>
      <c r="Y148" s="4">
        <v>-43518.539586540777</v>
      </c>
      <c r="AH148" s="4">
        <v>122</v>
      </c>
      <c r="AI148" s="4">
        <v>683088.43211206351</v>
      </c>
      <c r="AJ148" s="4">
        <v>-28771.342112063547</v>
      </c>
    </row>
    <row r="149" spans="1:36">
      <c r="A149" s="4">
        <v>123</v>
      </c>
      <c r="B149" s="4">
        <v>663840.54984826688</v>
      </c>
      <c r="C149" s="4">
        <v>-106353.28984826687</v>
      </c>
      <c r="L149" s="4">
        <v>123</v>
      </c>
      <c r="M149" s="4">
        <v>604214.51436824212</v>
      </c>
      <c r="N149" s="4">
        <v>-46727.254368242109</v>
      </c>
      <c r="W149" s="4">
        <v>123</v>
      </c>
      <c r="X149" s="4">
        <v>688263.22821111046</v>
      </c>
      <c r="Y149" s="4">
        <v>-130775.96821111045</v>
      </c>
      <c r="AH149" s="4">
        <v>123</v>
      </c>
      <c r="AI149" s="4">
        <v>674882.4539303676</v>
      </c>
      <c r="AJ149" s="4">
        <v>-117395.19393036759</v>
      </c>
    </row>
    <row r="150" spans="1:36">
      <c r="A150" s="4">
        <v>124</v>
      </c>
      <c r="B150" s="4">
        <v>601374.46211543912</v>
      </c>
      <c r="C150" s="4">
        <v>-160099.04211543914</v>
      </c>
      <c r="L150" s="4">
        <v>124</v>
      </c>
      <c r="M150" s="4">
        <v>514412.91015840613</v>
      </c>
      <c r="N150" s="4">
        <v>-73137.490158406144</v>
      </c>
      <c r="W150" s="4">
        <v>124</v>
      </c>
      <c r="X150" s="4">
        <v>667869.85136780248</v>
      </c>
      <c r="Y150" s="4">
        <v>-226594.43136780249</v>
      </c>
      <c r="AH150" s="4">
        <v>124</v>
      </c>
      <c r="AI150" s="4">
        <v>701718.22041645448</v>
      </c>
      <c r="AJ150" s="4">
        <v>-260442.8004164545</v>
      </c>
    </row>
    <row r="151" spans="1:36">
      <c r="A151" s="4">
        <v>125</v>
      </c>
      <c r="B151" s="4">
        <v>691833.9878954615</v>
      </c>
      <c r="C151" s="4">
        <v>222710.18210453854</v>
      </c>
      <c r="L151" s="4">
        <v>125</v>
      </c>
      <c r="M151" s="4">
        <v>817319.39396512369</v>
      </c>
      <c r="N151" s="4">
        <v>97224.776034876355</v>
      </c>
      <c r="W151" s="4">
        <v>125</v>
      </c>
      <c r="X151" s="4">
        <v>680771.78365642589</v>
      </c>
      <c r="Y151" s="4">
        <v>233772.38634357415</v>
      </c>
      <c r="AH151" s="4">
        <v>125</v>
      </c>
      <c r="AI151" s="4">
        <v>680205.2505887649</v>
      </c>
      <c r="AJ151" s="4">
        <v>234338.91941123514</v>
      </c>
    </row>
    <row r="152" spans="1:36">
      <c r="A152" s="4">
        <v>126</v>
      </c>
      <c r="B152" s="4">
        <v>656069.45263309905</v>
      </c>
      <c r="C152" s="4">
        <v>186370.21736690099</v>
      </c>
      <c r="L152" s="4">
        <v>126</v>
      </c>
      <c r="M152" s="4">
        <v>841580.45509451907</v>
      </c>
      <c r="N152" s="4">
        <v>859.21490548097063</v>
      </c>
      <c r="W152" s="4">
        <v>126</v>
      </c>
      <c r="X152" s="4">
        <v>673419.06955645769</v>
      </c>
      <c r="Y152" s="4">
        <v>169020.60044354235</v>
      </c>
      <c r="AH152" s="4">
        <v>126</v>
      </c>
      <c r="AI152" s="4">
        <v>702827.13638695399</v>
      </c>
      <c r="AJ152" s="4">
        <v>139612.53361304605</v>
      </c>
    </row>
    <row r="153" spans="1:36">
      <c r="A153" s="4">
        <v>127</v>
      </c>
      <c r="B153" s="4">
        <v>681136.47085662617</v>
      </c>
      <c r="C153" s="4">
        <v>161021.44914337387</v>
      </c>
      <c r="L153" s="4">
        <v>127</v>
      </c>
      <c r="M153" s="4">
        <v>787992.05242341314</v>
      </c>
      <c r="N153" s="4">
        <v>54165.867576586897</v>
      </c>
      <c r="W153" s="4">
        <v>127</v>
      </c>
      <c r="X153" s="4">
        <v>669534.6168243991</v>
      </c>
      <c r="Y153" s="4">
        <v>172623.30317560094</v>
      </c>
      <c r="AH153" s="4">
        <v>127</v>
      </c>
      <c r="AI153" s="4">
        <v>680427.03378286492</v>
      </c>
      <c r="AJ153" s="4">
        <v>161730.88621713512</v>
      </c>
    </row>
    <row r="154" spans="1:36">
      <c r="A154" s="4">
        <v>128</v>
      </c>
      <c r="B154" s="4">
        <v>641335.98572916887</v>
      </c>
      <c r="C154" s="4">
        <v>55819.314270831179</v>
      </c>
      <c r="L154" s="4">
        <v>128</v>
      </c>
      <c r="M154" s="4">
        <v>739719.67638213071</v>
      </c>
      <c r="N154" s="4">
        <v>-42564.376382130664</v>
      </c>
      <c r="W154" s="4">
        <v>128</v>
      </c>
      <c r="X154" s="4">
        <v>684517.50593376823</v>
      </c>
      <c r="Y154" s="4">
        <v>12637.794066231814</v>
      </c>
      <c r="AH154" s="4">
        <v>128</v>
      </c>
      <c r="AI154" s="4">
        <v>665567.55977817206</v>
      </c>
      <c r="AJ154" s="4">
        <v>31587.740221827989</v>
      </c>
    </row>
    <row r="155" spans="1:36">
      <c r="A155" s="4">
        <v>129</v>
      </c>
      <c r="B155" s="4">
        <v>701862.83957718674</v>
      </c>
      <c r="C155" s="4">
        <v>147155.46042281331</v>
      </c>
      <c r="L155" s="4">
        <v>129</v>
      </c>
      <c r="M155" s="4">
        <v>825239.91686324985</v>
      </c>
      <c r="N155" s="4">
        <v>23778.383136750199</v>
      </c>
      <c r="W155" s="4">
        <v>129</v>
      </c>
      <c r="X155" s="4">
        <v>678135.90501681471</v>
      </c>
      <c r="Y155" s="4">
        <v>170882.39498318534</v>
      </c>
      <c r="AH155" s="4">
        <v>129</v>
      </c>
      <c r="AI155" s="4">
        <v>680648.81697696471</v>
      </c>
      <c r="AJ155" s="4">
        <v>168369.48302303534</v>
      </c>
    </row>
    <row r="156" spans="1:36">
      <c r="A156" s="4">
        <v>130</v>
      </c>
      <c r="B156" s="4">
        <v>706463.57411491184</v>
      </c>
      <c r="C156" s="4">
        <v>95366.775885088136</v>
      </c>
      <c r="L156" s="4">
        <v>130</v>
      </c>
      <c r="M156" s="4">
        <v>824455.00017965166</v>
      </c>
      <c r="N156" s="4">
        <v>-22624.650179651682</v>
      </c>
      <c r="W156" s="4">
        <v>130</v>
      </c>
      <c r="X156" s="4">
        <v>669118.42546024988</v>
      </c>
      <c r="Y156" s="4">
        <v>132711.92453975009</v>
      </c>
      <c r="AH156" s="4">
        <v>130</v>
      </c>
      <c r="AI156" s="4">
        <v>664902.21019587247</v>
      </c>
      <c r="AJ156" s="4">
        <v>136928.13980412751</v>
      </c>
    </row>
    <row r="157" spans="1:36">
      <c r="A157" s="4">
        <v>131</v>
      </c>
      <c r="B157" s="4">
        <v>668822.69132716337</v>
      </c>
      <c r="C157" s="4">
        <v>56412.58867283666</v>
      </c>
      <c r="L157" s="4">
        <v>131</v>
      </c>
      <c r="M157" s="4">
        <v>789597.56382168201</v>
      </c>
      <c r="N157" s="4">
        <v>-64362.28382168198</v>
      </c>
      <c r="W157" s="4">
        <v>131</v>
      </c>
      <c r="X157" s="4">
        <v>677858.44410738198</v>
      </c>
      <c r="Y157" s="4">
        <v>47376.835892618052</v>
      </c>
      <c r="AH157" s="4">
        <v>131</v>
      </c>
      <c r="AI157" s="4">
        <v>692846.89265245874</v>
      </c>
      <c r="AJ157" s="4">
        <v>32388.387347541284</v>
      </c>
    </row>
    <row r="158" spans="1:36">
      <c r="A158" s="4">
        <v>132</v>
      </c>
      <c r="B158" s="4">
        <v>702299.9775046811</v>
      </c>
      <c r="C158" s="4">
        <v>109152.74249531887</v>
      </c>
      <c r="L158" s="4">
        <v>132</v>
      </c>
      <c r="M158" s="4">
        <v>833017.72763708537</v>
      </c>
      <c r="N158" s="4">
        <v>-21565.007637085393</v>
      </c>
      <c r="W158" s="4">
        <v>132</v>
      </c>
      <c r="X158" s="4">
        <v>685488.61911678291</v>
      </c>
      <c r="Y158" s="4">
        <v>125964.10088321706</v>
      </c>
      <c r="AH158" s="4">
        <v>132</v>
      </c>
      <c r="AI158" s="4">
        <v>673329.97157166828</v>
      </c>
      <c r="AJ158" s="4">
        <v>138122.74842833169</v>
      </c>
    </row>
    <row r="159" spans="1:36">
      <c r="A159" s="4">
        <v>133</v>
      </c>
      <c r="B159" s="4">
        <v>710435.97745223157</v>
      </c>
      <c r="C159" s="4">
        <v>-183135.84745223157</v>
      </c>
      <c r="L159" s="4">
        <v>133</v>
      </c>
      <c r="M159" s="4">
        <v>554978.83148799837</v>
      </c>
      <c r="N159" s="4">
        <v>-27678.701487998362</v>
      </c>
      <c r="W159" s="4">
        <v>133</v>
      </c>
      <c r="X159" s="4">
        <v>686875.92366394668</v>
      </c>
      <c r="Y159" s="4">
        <v>-159575.79366394668</v>
      </c>
      <c r="AH159" s="4">
        <v>133</v>
      </c>
      <c r="AI159" s="4">
        <v>679761.68420056521</v>
      </c>
      <c r="AJ159" s="4">
        <v>-152461.55420056521</v>
      </c>
    </row>
    <row r="160" spans="1:36">
      <c r="A160" s="4">
        <v>134</v>
      </c>
      <c r="B160" s="4">
        <v>607780.56543288182</v>
      </c>
      <c r="C160" s="4">
        <v>-206948.9154328818</v>
      </c>
      <c r="L160" s="4">
        <v>134</v>
      </c>
      <c r="M160" s="4">
        <v>511130.53129972325</v>
      </c>
      <c r="N160" s="4">
        <v>-110298.88129972323</v>
      </c>
      <c r="W160" s="4">
        <v>134</v>
      </c>
      <c r="X160" s="4">
        <v>670644.46046213014</v>
      </c>
      <c r="Y160" s="4">
        <v>-269812.81046213012</v>
      </c>
      <c r="AH160" s="4">
        <v>134</v>
      </c>
      <c r="AI160" s="4">
        <v>664680.42700177245</v>
      </c>
      <c r="AJ160" s="4">
        <v>-263848.77700177243</v>
      </c>
    </row>
    <row r="161" spans="1:36">
      <c r="A161" s="4">
        <v>135</v>
      </c>
      <c r="B161" s="4">
        <v>672123.14976136864</v>
      </c>
      <c r="C161" s="4">
        <v>-78875.899761368637</v>
      </c>
      <c r="L161" s="4">
        <v>135</v>
      </c>
      <c r="M161" s="4">
        <v>575493.69935476664</v>
      </c>
      <c r="N161" s="4">
        <v>17753.550645233365</v>
      </c>
      <c r="W161" s="4">
        <v>135</v>
      </c>
      <c r="X161" s="4">
        <v>685904.81048093201</v>
      </c>
      <c r="Y161" s="4">
        <v>-92657.560480932007</v>
      </c>
      <c r="AH161" s="4">
        <v>135</v>
      </c>
      <c r="AI161" s="4">
        <v>696838.99014625687</v>
      </c>
      <c r="AJ161" s="4">
        <v>-103591.74014625687</v>
      </c>
    </row>
    <row r="162" spans="1:36">
      <c r="A162" s="4">
        <v>136</v>
      </c>
      <c r="B162" s="4">
        <v>710628.66142787179</v>
      </c>
      <c r="C162" s="4">
        <v>-181552.71142787184</v>
      </c>
      <c r="L162" s="4">
        <v>136</v>
      </c>
      <c r="M162" s="4">
        <v>516446.55792954669</v>
      </c>
      <c r="N162" s="4">
        <v>12629.392070453265</v>
      </c>
      <c r="W162" s="4">
        <v>136</v>
      </c>
      <c r="X162" s="4">
        <v>672586.68682815949</v>
      </c>
      <c r="Y162" s="4">
        <v>-143510.73682815954</v>
      </c>
      <c r="AH162" s="4">
        <v>136</v>
      </c>
      <c r="AI162" s="4">
        <v>683975.56488846312</v>
      </c>
      <c r="AJ162" s="4">
        <v>-154899.61488846317</v>
      </c>
    </row>
    <row r="163" spans="1:36">
      <c r="A163" s="4">
        <v>137</v>
      </c>
      <c r="B163" s="4">
        <v>712660.06333285978</v>
      </c>
      <c r="C163" s="4">
        <v>-79022.033332859748</v>
      </c>
      <c r="L163" s="4">
        <v>137</v>
      </c>
      <c r="M163" s="4">
        <v>727838.89203494135</v>
      </c>
      <c r="N163" s="4">
        <v>-94200.862034941325</v>
      </c>
      <c r="W163" s="4">
        <v>137</v>
      </c>
      <c r="X163" s="4">
        <v>691176.56776015449</v>
      </c>
      <c r="Y163" s="4">
        <v>-57538.537760154461</v>
      </c>
      <c r="AH163" s="4">
        <v>137</v>
      </c>
      <c r="AI163" s="4">
        <v>658026.93117877573</v>
      </c>
      <c r="AJ163" s="4">
        <v>-24388.901178775704</v>
      </c>
    </row>
    <row r="164" spans="1:36">
      <c r="A164" s="4">
        <v>138</v>
      </c>
      <c r="B164" s="4">
        <v>720729.04554485087</v>
      </c>
      <c r="C164" s="4">
        <v>22619.794455149095</v>
      </c>
      <c r="L164" s="4">
        <v>138</v>
      </c>
      <c r="M164" s="4">
        <v>669184.2089515205</v>
      </c>
      <c r="N164" s="4">
        <v>74164.631048479467</v>
      </c>
      <c r="W164" s="4">
        <v>138</v>
      </c>
      <c r="X164" s="4">
        <v>686875.92366394668</v>
      </c>
      <c r="Y164" s="4">
        <v>56472.916336053284</v>
      </c>
      <c r="AH164" s="4">
        <v>138</v>
      </c>
      <c r="AI164" s="4">
        <v>698391.47250495607</v>
      </c>
      <c r="AJ164" s="4">
        <v>44957.367495043902</v>
      </c>
    </row>
    <row r="165" spans="1:36">
      <c r="A165" s="4">
        <v>139</v>
      </c>
      <c r="B165" s="4">
        <v>709376.9822333277</v>
      </c>
      <c r="C165" s="4">
        <v>49450.657766672317</v>
      </c>
      <c r="L165" s="4">
        <v>139</v>
      </c>
      <c r="M165" s="4">
        <v>679887.61827331258</v>
      </c>
      <c r="N165" s="4">
        <v>78940.021726687439</v>
      </c>
      <c r="W165" s="4">
        <v>139</v>
      </c>
      <c r="X165" s="4">
        <v>676748.60046965093</v>
      </c>
      <c r="Y165" s="4">
        <v>82079.03953034908</v>
      </c>
      <c r="AH165" s="4">
        <v>139</v>
      </c>
      <c r="AI165" s="4">
        <v>684862.69766486273</v>
      </c>
      <c r="AJ165" s="4">
        <v>73964.942335137282</v>
      </c>
    </row>
    <row r="166" spans="1:36">
      <c r="A166" s="4">
        <v>140</v>
      </c>
      <c r="B166" s="4">
        <v>654930.02335407212</v>
      </c>
      <c r="C166" s="4">
        <v>-8370.313354072161</v>
      </c>
      <c r="L166" s="4">
        <v>140</v>
      </c>
      <c r="M166" s="4">
        <v>641391.0227459335</v>
      </c>
      <c r="N166" s="4">
        <v>5168.6872540664626</v>
      </c>
      <c r="W166" s="4">
        <v>140</v>
      </c>
      <c r="X166" s="4">
        <v>671893.03455457755</v>
      </c>
      <c r="Y166" s="4">
        <v>-25333.324554577586</v>
      </c>
      <c r="AH166" s="4">
        <v>140</v>
      </c>
      <c r="AI166" s="4">
        <v>684419.13127666293</v>
      </c>
      <c r="AJ166" s="4">
        <v>-37859.421276662964</v>
      </c>
    </row>
    <row r="167" spans="1:36">
      <c r="A167" s="4">
        <v>141</v>
      </c>
      <c r="B167" s="4">
        <v>670302.0647157334</v>
      </c>
      <c r="C167" s="4">
        <v>45588.465284266626</v>
      </c>
      <c r="L167" s="4">
        <v>141</v>
      </c>
      <c r="M167" s="4">
        <v>675713.28863781365</v>
      </c>
      <c r="N167" s="4">
        <v>40177.241362186382</v>
      </c>
      <c r="W167" s="4">
        <v>141</v>
      </c>
      <c r="X167" s="4">
        <v>665372.70318290766</v>
      </c>
      <c r="Y167" s="4">
        <v>50517.826817092369</v>
      </c>
      <c r="AH167" s="4">
        <v>141</v>
      </c>
      <c r="AI167" s="4">
        <v>681757.73294746422</v>
      </c>
      <c r="AJ167" s="4">
        <v>34132.797052535811</v>
      </c>
    </row>
    <row r="168" spans="1:36">
      <c r="A168" s="4">
        <v>142</v>
      </c>
      <c r="B168" s="4">
        <v>658112.75886416819</v>
      </c>
      <c r="C168" s="4">
        <v>56984.811135831755</v>
      </c>
      <c r="L168" s="4">
        <v>142</v>
      </c>
      <c r="M168" s="4">
        <v>685596.10324493505</v>
      </c>
      <c r="N168" s="4">
        <v>29501.466755064903</v>
      </c>
      <c r="W168" s="4">
        <v>142</v>
      </c>
      <c r="X168" s="4">
        <v>692563.87230731826</v>
      </c>
      <c r="Y168" s="4">
        <v>22533.697692681686</v>
      </c>
      <c r="AH168" s="4">
        <v>142</v>
      </c>
      <c r="AI168" s="4">
        <v>693734.02542885835</v>
      </c>
      <c r="AJ168" s="4">
        <v>21363.544571141596</v>
      </c>
    </row>
    <row r="169" spans="1:36">
      <c r="A169" s="4">
        <v>143</v>
      </c>
      <c r="B169" s="4">
        <v>654552.3431697241</v>
      </c>
      <c r="C169" s="4">
        <v>28086.936830275925</v>
      </c>
      <c r="L169" s="4">
        <v>143</v>
      </c>
      <c r="M169" s="4">
        <v>647813.06833900884</v>
      </c>
      <c r="N169" s="4">
        <v>34826.21166099119</v>
      </c>
      <c r="W169" s="4">
        <v>143</v>
      </c>
      <c r="X169" s="4">
        <v>688263.22821111046</v>
      </c>
      <c r="Y169" s="4">
        <v>-5623.9482111104298</v>
      </c>
      <c r="AH169" s="4">
        <v>143</v>
      </c>
      <c r="AI169" s="4">
        <v>681092.38336516451</v>
      </c>
      <c r="AJ169" s="4">
        <v>1546.896634835517</v>
      </c>
    </row>
    <row r="170" spans="1:36">
      <c r="A170" s="4">
        <v>144</v>
      </c>
      <c r="B170" s="4">
        <v>667678.02329283056</v>
      </c>
      <c r="C170" s="4">
        <v>27420.486707169446</v>
      </c>
      <c r="L170" s="4">
        <v>144</v>
      </c>
      <c r="M170" s="4">
        <v>663654.11413526116</v>
      </c>
      <c r="N170" s="4">
        <v>31444.39586473885</v>
      </c>
      <c r="W170" s="4">
        <v>144</v>
      </c>
      <c r="X170" s="4">
        <v>672586.68682815949</v>
      </c>
      <c r="Y170" s="4">
        <v>22511.823171840515</v>
      </c>
      <c r="AH170" s="4">
        <v>144</v>
      </c>
      <c r="AI170" s="4">
        <v>693290.45904065855</v>
      </c>
      <c r="AJ170" s="4">
        <v>1808.0509593414608</v>
      </c>
    </row>
    <row r="171" spans="1:36">
      <c r="A171" s="4">
        <v>145</v>
      </c>
      <c r="B171" s="4">
        <v>710887.27705565433</v>
      </c>
      <c r="C171" s="4">
        <v>-133154.70705565438</v>
      </c>
      <c r="L171" s="4">
        <v>145</v>
      </c>
      <c r="M171" s="4">
        <v>600254.25291917915</v>
      </c>
      <c r="N171" s="4">
        <v>-22521.682919179206</v>
      </c>
      <c r="W171" s="4">
        <v>145</v>
      </c>
      <c r="X171" s="4">
        <v>674390.18273947237</v>
      </c>
      <c r="Y171" s="4">
        <v>-96657.612739472417</v>
      </c>
      <c r="AH171" s="4">
        <v>145</v>
      </c>
      <c r="AI171" s="4">
        <v>684862.69766486273</v>
      </c>
      <c r="AJ171" s="4">
        <v>-107130.12766486278</v>
      </c>
    </row>
    <row r="172" spans="1:36">
      <c r="A172" s="4">
        <v>146</v>
      </c>
      <c r="B172" s="4">
        <v>669192.47078704601</v>
      </c>
      <c r="C172" s="4">
        <v>-132134.14078704605</v>
      </c>
      <c r="L172" s="4">
        <v>146</v>
      </c>
      <c r="M172" s="4">
        <v>558867.73687491613</v>
      </c>
      <c r="N172" s="4">
        <v>-21809.406874916167</v>
      </c>
      <c r="W172" s="4">
        <v>146</v>
      </c>
      <c r="X172" s="4">
        <v>689511.80230355787</v>
      </c>
      <c r="Y172" s="4">
        <v>-152453.47230355791</v>
      </c>
      <c r="AH172" s="4">
        <v>146</v>
      </c>
      <c r="AI172" s="4">
        <v>692625.10945835896</v>
      </c>
      <c r="AJ172" s="4">
        <v>-155566.779458359</v>
      </c>
    </row>
    <row r="173" spans="1:36">
      <c r="A173" s="4">
        <v>147</v>
      </c>
      <c r="B173" s="4">
        <v>674393.80945441127</v>
      </c>
      <c r="C173" s="4">
        <v>-72824.939454411273</v>
      </c>
      <c r="L173" s="4">
        <v>147</v>
      </c>
      <c r="M173" s="4">
        <v>598363.31727232912</v>
      </c>
      <c r="N173" s="4">
        <v>3205.5527276708744</v>
      </c>
      <c r="W173" s="4">
        <v>147</v>
      </c>
      <c r="X173" s="4">
        <v>676193.67865078535</v>
      </c>
      <c r="Y173" s="4">
        <v>-74624.808650785359</v>
      </c>
      <c r="AH173" s="4">
        <v>147</v>
      </c>
      <c r="AI173" s="4">
        <v>692625.10945835896</v>
      </c>
      <c r="AJ173" s="4">
        <v>-91056.239458358963</v>
      </c>
    </row>
    <row r="174" spans="1:36">
      <c r="A174" s="4">
        <v>148</v>
      </c>
      <c r="B174" s="4">
        <v>689238.44019044167</v>
      </c>
      <c r="C174" s="4">
        <v>-118273.60019044171</v>
      </c>
      <c r="L174" s="4">
        <v>148</v>
      </c>
      <c r="M174" s="4">
        <v>565931.98702729901</v>
      </c>
      <c r="N174" s="4">
        <v>5032.8529727009591</v>
      </c>
      <c r="W174" s="4">
        <v>148</v>
      </c>
      <c r="X174" s="4">
        <v>682852.74047717161</v>
      </c>
      <c r="Y174" s="4">
        <v>-111887.90047717164</v>
      </c>
      <c r="AH174" s="4">
        <v>148</v>
      </c>
      <c r="AI174" s="4">
        <v>683088.43211206351</v>
      </c>
      <c r="AJ174" s="4">
        <v>-112123.59211206355</v>
      </c>
    </row>
    <row r="175" spans="1:36">
      <c r="A175" s="4">
        <v>149</v>
      </c>
      <c r="B175" s="4">
        <v>670611.64108110522</v>
      </c>
      <c r="C175" s="4">
        <v>-56586.731081105187</v>
      </c>
      <c r="L175" s="4">
        <v>149</v>
      </c>
      <c r="M175" s="4">
        <v>636538.81052005442</v>
      </c>
      <c r="N175" s="4">
        <v>-22513.900520054391</v>
      </c>
      <c r="W175" s="4">
        <v>149</v>
      </c>
      <c r="X175" s="4">
        <v>691315.29821487085</v>
      </c>
      <c r="Y175" s="4">
        <v>-77290.388214870822</v>
      </c>
      <c r="AH175" s="4">
        <v>149</v>
      </c>
      <c r="AI175" s="4">
        <v>680205.2505887649</v>
      </c>
      <c r="AJ175" s="4">
        <v>-66180.34058876487</v>
      </c>
    </row>
    <row r="176" spans="1:36">
      <c r="A176" s="4">
        <v>150</v>
      </c>
      <c r="B176" s="4">
        <v>653030.42086610873</v>
      </c>
      <c r="C176" s="4">
        <v>59837.929133891244</v>
      </c>
      <c r="L176" s="4">
        <v>150</v>
      </c>
      <c r="M176" s="4">
        <v>680137.36449082103</v>
      </c>
      <c r="N176" s="4">
        <v>32730.98550917895</v>
      </c>
      <c r="W176" s="4">
        <v>150</v>
      </c>
      <c r="X176" s="4">
        <v>691731.48957901995</v>
      </c>
      <c r="Y176" s="4">
        <v>21136.860420980025</v>
      </c>
      <c r="AH176" s="4">
        <v>150</v>
      </c>
      <c r="AI176" s="4">
        <v>704379.61874565319</v>
      </c>
      <c r="AJ176" s="4">
        <v>8488.7312543467851</v>
      </c>
    </row>
    <row r="177" spans="1:36">
      <c r="A177" s="4">
        <v>151</v>
      </c>
      <c r="B177" s="4">
        <v>661066.60761805496</v>
      </c>
      <c r="C177" s="4">
        <v>35677.542381945066</v>
      </c>
      <c r="L177" s="4">
        <v>151</v>
      </c>
      <c r="M177" s="4">
        <v>644423.65538710798</v>
      </c>
      <c r="N177" s="4">
        <v>52320.494612892042</v>
      </c>
      <c r="W177" s="4">
        <v>151</v>
      </c>
      <c r="X177" s="4">
        <v>683962.58411490265</v>
      </c>
      <c r="Y177" s="4">
        <v>12781.56588509737</v>
      </c>
      <c r="AH177" s="4">
        <v>151</v>
      </c>
      <c r="AI177" s="4">
        <v>695508.29098165757</v>
      </c>
      <c r="AJ177" s="4">
        <v>1235.8590183424531</v>
      </c>
    </row>
    <row r="178" spans="1:36">
      <c r="A178" s="4">
        <v>152</v>
      </c>
      <c r="B178" s="4">
        <v>713798.17227518361</v>
      </c>
      <c r="C178" s="4">
        <v>12049.817724816385</v>
      </c>
      <c r="L178" s="4">
        <v>152</v>
      </c>
      <c r="M178" s="4">
        <v>657303.42460433114</v>
      </c>
      <c r="N178" s="4">
        <v>68544.565395668847</v>
      </c>
      <c r="W178" s="4">
        <v>152</v>
      </c>
      <c r="X178" s="4">
        <v>670505.73000741377</v>
      </c>
      <c r="Y178" s="4">
        <v>55342.259992586216</v>
      </c>
      <c r="AH178" s="4">
        <v>152</v>
      </c>
      <c r="AI178" s="4">
        <v>693955.80862295826</v>
      </c>
      <c r="AJ178" s="4">
        <v>31892.181377041736</v>
      </c>
    </row>
    <row r="179" spans="1:36">
      <c r="A179" s="4">
        <v>153</v>
      </c>
      <c r="B179" s="4">
        <v>721869.56090729497</v>
      </c>
      <c r="C179" s="4">
        <v>63158.689092705026</v>
      </c>
      <c r="L179" s="4">
        <v>153</v>
      </c>
      <c r="M179" s="4">
        <v>791559.85553067725</v>
      </c>
      <c r="N179" s="4">
        <v>-6531.6055306772469</v>
      </c>
      <c r="W179" s="4">
        <v>153</v>
      </c>
      <c r="X179" s="4">
        <v>665372.70318290766</v>
      </c>
      <c r="Y179" s="4">
        <v>119655.54681709234</v>
      </c>
      <c r="AH179" s="4">
        <v>153</v>
      </c>
      <c r="AI179" s="4">
        <v>678652.7682300657</v>
      </c>
      <c r="AJ179" s="4">
        <v>106375.4817699343</v>
      </c>
    </row>
    <row r="180" spans="1:36">
      <c r="A180" s="4">
        <v>154</v>
      </c>
      <c r="B180" s="4">
        <v>697868.22476920031</v>
      </c>
      <c r="C180" s="4">
        <v>624.44523079972714</v>
      </c>
      <c r="L180" s="4">
        <v>154</v>
      </c>
      <c r="M180" s="4">
        <v>686880.51236355014</v>
      </c>
      <c r="N180" s="4">
        <v>11612.157636449905</v>
      </c>
      <c r="W180" s="4">
        <v>154</v>
      </c>
      <c r="X180" s="4">
        <v>674390.18273947237</v>
      </c>
      <c r="Y180" s="4">
        <v>24102.487260527676</v>
      </c>
      <c r="AH180" s="4">
        <v>154</v>
      </c>
      <c r="AI180" s="4">
        <v>677765.63545366609</v>
      </c>
      <c r="AJ180" s="4">
        <v>20727.034546333947</v>
      </c>
    </row>
    <row r="181" spans="1:36">
      <c r="A181" s="4">
        <v>155</v>
      </c>
      <c r="B181" s="4">
        <v>691605.33539253811</v>
      </c>
      <c r="C181" s="4">
        <v>-5775.0953925381182</v>
      </c>
      <c r="L181" s="4">
        <v>155</v>
      </c>
      <c r="M181" s="4">
        <v>722736.93359155371</v>
      </c>
      <c r="N181" s="4">
        <v>-36906.693591553718</v>
      </c>
      <c r="W181" s="4">
        <v>155</v>
      </c>
      <c r="X181" s="4">
        <v>672864.14773759223</v>
      </c>
      <c r="Y181" s="4">
        <v>12966.092262407765</v>
      </c>
      <c r="AH181" s="4">
        <v>155</v>
      </c>
      <c r="AI181" s="4">
        <v>685528.04724716232</v>
      </c>
      <c r="AJ181" s="4">
        <v>302.1927528376691</v>
      </c>
    </row>
    <row r="182" spans="1:36">
      <c r="A182" s="4">
        <v>156</v>
      </c>
      <c r="B182" s="4">
        <v>651706.25092741335</v>
      </c>
      <c r="C182" s="4">
        <v>50612.689072586596</v>
      </c>
      <c r="L182" s="4">
        <v>156</v>
      </c>
      <c r="M182" s="4">
        <v>720881.67597577651</v>
      </c>
      <c r="N182" s="4">
        <v>-18562.735975776566</v>
      </c>
      <c r="W182" s="4">
        <v>156</v>
      </c>
      <c r="X182" s="4">
        <v>671893.03455457755</v>
      </c>
      <c r="Y182" s="4">
        <v>30425.905445422395</v>
      </c>
      <c r="AH182" s="4">
        <v>156</v>
      </c>
      <c r="AI182" s="4">
        <v>684640.91447076283</v>
      </c>
      <c r="AJ182" s="4">
        <v>17678.025529237115</v>
      </c>
    </row>
    <row r="183" spans="1:36">
      <c r="A183" s="4">
        <v>157</v>
      </c>
      <c r="B183" s="4">
        <v>745801.89880477567</v>
      </c>
      <c r="C183" s="4">
        <v>-45723.578804775723</v>
      </c>
      <c r="L183" s="4">
        <v>157</v>
      </c>
      <c r="M183" s="4">
        <v>675606.25454459572</v>
      </c>
      <c r="N183" s="4">
        <v>24472.065455404227</v>
      </c>
      <c r="W183" s="4">
        <v>157</v>
      </c>
      <c r="X183" s="4">
        <v>689927.99366770708</v>
      </c>
      <c r="Y183" s="4">
        <v>10150.326332292869</v>
      </c>
      <c r="AH183" s="4">
        <v>157</v>
      </c>
      <c r="AI183" s="4">
        <v>673773.53795986809</v>
      </c>
      <c r="AJ183" s="4">
        <v>26304.78204013186</v>
      </c>
    </row>
    <row r="184" spans="1:36">
      <c r="A184" s="4">
        <v>158</v>
      </c>
      <c r="B184" s="4">
        <v>649927.92775435618</v>
      </c>
      <c r="C184" s="4">
        <v>-47925.607754356228</v>
      </c>
      <c r="L184" s="4">
        <v>158</v>
      </c>
      <c r="M184" s="4">
        <v>639071.95072621189</v>
      </c>
      <c r="N184" s="4">
        <v>-37069.630726211937</v>
      </c>
      <c r="W184" s="4">
        <v>158</v>
      </c>
      <c r="X184" s="4">
        <v>682020.3577488733</v>
      </c>
      <c r="Y184" s="4">
        <v>-80018.03774887335</v>
      </c>
      <c r="AH184" s="4">
        <v>158</v>
      </c>
      <c r="AI184" s="4">
        <v>687967.66238226113</v>
      </c>
      <c r="AJ184" s="4">
        <v>-85965.34238226118</v>
      </c>
    </row>
    <row r="185" spans="1:36">
      <c r="A185" s="4">
        <v>159</v>
      </c>
      <c r="B185" s="4">
        <v>681988.85467724735</v>
      </c>
      <c r="C185" s="4">
        <v>42227.2153227526</v>
      </c>
      <c r="L185" s="4">
        <v>159</v>
      </c>
      <c r="M185" s="4">
        <v>696691.97090852621</v>
      </c>
      <c r="N185" s="4">
        <v>27524.099091473734</v>
      </c>
      <c r="W185" s="4">
        <v>159</v>
      </c>
      <c r="X185" s="4">
        <v>675916.21774135262</v>
      </c>
      <c r="Y185" s="4">
        <v>48299.852258647326</v>
      </c>
      <c r="AH185" s="4">
        <v>159</v>
      </c>
      <c r="AI185" s="4">
        <v>649377.38660888001</v>
      </c>
      <c r="AJ185" s="4">
        <v>74838.683391119936</v>
      </c>
    </row>
    <row r="186" spans="1:36">
      <c r="A186" s="4">
        <v>160</v>
      </c>
      <c r="B186" s="4">
        <v>610299.70397514757</v>
      </c>
      <c r="C186" s="4">
        <v>10673.32602485246</v>
      </c>
      <c r="L186" s="4">
        <v>160</v>
      </c>
      <c r="M186" s="4">
        <v>583663.96847040125</v>
      </c>
      <c r="N186" s="4">
        <v>37309.061529598781</v>
      </c>
      <c r="W186" s="4">
        <v>160</v>
      </c>
      <c r="X186" s="4">
        <v>675777.48728663626</v>
      </c>
      <c r="Y186" s="4">
        <v>-54804.457286636229</v>
      </c>
      <c r="AH186" s="4">
        <v>160</v>
      </c>
      <c r="AI186" s="4">
        <v>691072.62709965964</v>
      </c>
      <c r="AJ186" s="4">
        <v>-70099.597099659615</v>
      </c>
    </row>
    <row r="187" spans="1:36">
      <c r="A187" s="4">
        <v>161</v>
      </c>
      <c r="B187" s="4">
        <v>649034.20887662657</v>
      </c>
      <c r="C187" s="4">
        <v>1445.8511233734898</v>
      </c>
      <c r="L187" s="4">
        <v>161</v>
      </c>
      <c r="M187" s="4">
        <v>712390.30458048801</v>
      </c>
      <c r="N187" s="4">
        <v>-61910.244580487953</v>
      </c>
      <c r="W187" s="4">
        <v>161</v>
      </c>
      <c r="X187" s="4">
        <v>673557.80001117417</v>
      </c>
      <c r="Y187" s="4">
        <v>-23077.740011174115</v>
      </c>
      <c r="AH187" s="4">
        <v>161</v>
      </c>
      <c r="AI187" s="4">
        <v>684640.91447076283</v>
      </c>
      <c r="AJ187" s="4">
        <v>-34160.854470762773</v>
      </c>
    </row>
    <row r="188" spans="1:36">
      <c r="A188" s="4">
        <v>162</v>
      </c>
      <c r="B188" s="4">
        <v>663931.52530626161</v>
      </c>
      <c r="C188" s="4">
        <v>114367.35469373839</v>
      </c>
      <c r="L188" s="4">
        <v>162</v>
      </c>
      <c r="M188" s="4">
        <v>695871.37619385554</v>
      </c>
      <c r="N188" s="4">
        <v>82427.503806144465</v>
      </c>
      <c r="W188" s="4">
        <v>162</v>
      </c>
      <c r="X188" s="4">
        <v>693118.79412618384</v>
      </c>
      <c r="Y188" s="4">
        <v>85180.085873816162</v>
      </c>
      <c r="AH188" s="4">
        <v>162</v>
      </c>
      <c r="AI188" s="4">
        <v>686636.96321766183</v>
      </c>
      <c r="AJ188" s="4">
        <v>91661.916782338172</v>
      </c>
    </row>
    <row r="189" spans="1:36">
      <c r="A189" s="4">
        <v>163</v>
      </c>
      <c r="B189" s="4">
        <v>682468.30726650089</v>
      </c>
      <c r="C189" s="4">
        <v>-5371.5972665009322</v>
      </c>
      <c r="L189" s="4">
        <v>163</v>
      </c>
      <c r="M189" s="4">
        <v>733190.59669583745</v>
      </c>
      <c r="N189" s="4">
        <v>-56093.886695837486</v>
      </c>
      <c r="W189" s="4">
        <v>163</v>
      </c>
      <c r="X189" s="4">
        <v>671060.65182627924</v>
      </c>
      <c r="Y189" s="4">
        <v>6036.0581737207249</v>
      </c>
      <c r="AH189" s="4">
        <v>163</v>
      </c>
      <c r="AI189" s="4">
        <v>645828.85550328169</v>
      </c>
      <c r="AJ189" s="4">
        <v>31267.854496718268</v>
      </c>
    </row>
    <row r="190" spans="1:36">
      <c r="A190" s="4">
        <v>164</v>
      </c>
      <c r="B190" s="4">
        <v>703183.36794207199</v>
      </c>
      <c r="C190" s="4">
        <v>-11174.727942071971</v>
      </c>
      <c r="L190" s="4">
        <v>164</v>
      </c>
      <c r="M190" s="4">
        <v>662441.06107879139</v>
      </c>
      <c r="N190" s="4">
        <v>29567.578921208624</v>
      </c>
      <c r="W190" s="4">
        <v>164</v>
      </c>
      <c r="X190" s="4">
        <v>687430.84548281215</v>
      </c>
      <c r="Y190" s="4">
        <v>4577.7945171878673</v>
      </c>
      <c r="AH190" s="4">
        <v>164</v>
      </c>
      <c r="AI190" s="4">
        <v>692846.89265245874</v>
      </c>
      <c r="AJ190" s="4">
        <v>-838.25265245873015</v>
      </c>
    </row>
    <row r="191" spans="1:36">
      <c r="A191" s="4">
        <v>165</v>
      </c>
      <c r="B191" s="4">
        <v>714427.33400996681</v>
      </c>
      <c r="C191" s="4">
        <v>111370.57599003322</v>
      </c>
      <c r="L191" s="4">
        <v>165</v>
      </c>
      <c r="M191" s="4">
        <v>779036.86662418046</v>
      </c>
      <c r="N191" s="4">
        <v>46761.043375819572</v>
      </c>
      <c r="W191" s="4">
        <v>165</v>
      </c>
      <c r="X191" s="4">
        <v>676054.94819606899</v>
      </c>
      <c r="Y191" s="4">
        <v>149742.96180393104</v>
      </c>
      <c r="AH191" s="4">
        <v>165</v>
      </c>
      <c r="AI191" s="4">
        <v>668672.52449557057</v>
      </c>
      <c r="AJ191" s="4">
        <v>157125.38550442946</v>
      </c>
    </row>
    <row r="192" spans="1:36">
      <c r="A192" s="4">
        <v>166</v>
      </c>
      <c r="B192" s="4">
        <v>635958.38211193902</v>
      </c>
      <c r="C192" s="4">
        <v>70327.137888060999</v>
      </c>
      <c r="L192" s="4">
        <v>166</v>
      </c>
      <c r="M192" s="4">
        <v>759984.79803139041</v>
      </c>
      <c r="N192" s="4">
        <v>-53699.278031390393</v>
      </c>
      <c r="W192" s="4">
        <v>166</v>
      </c>
      <c r="X192" s="4">
        <v>680771.78365642589</v>
      </c>
      <c r="Y192" s="4">
        <v>25513.736343574128</v>
      </c>
      <c r="AH192" s="4">
        <v>166</v>
      </c>
      <c r="AI192" s="4">
        <v>675769.58670676709</v>
      </c>
      <c r="AJ192" s="4">
        <v>30515.933293232927</v>
      </c>
    </row>
    <row r="193" spans="1:36">
      <c r="A193" s="4">
        <v>167</v>
      </c>
      <c r="B193" s="4">
        <v>625307.43888551812</v>
      </c>
      <c r="C193" s="4">
        <v>40227.261114481837</v>
      </c>
      <c r="L193" s="4">
        <v>167</v>
      </c>
      <c r="M193" s="4">
        <v>693980.44054700551</v>
      </c>
      <c r="N193" s="4">
        <v>-28445.740547005553</v>
      </c>
      <c r="W193" s="4">
        <v>167</v>
      </c>
      <c r="X193" s="4">
        <v>685349.88866206643</v>
      </c>
      <c r="Y193" s="4">
        <v>-19815.188662066474</v>
      </c>
      <c r="AH193" s="4">
        <v>167</v>
      </c>
      <c r="AI193" s="4">
        <v>685084.48085896252</v>
      </c>
      <c r="AJ193" s="4">
        <v>-19549.780858962564</v>
      </c>
    </row>
    <row r="194" spans="1:36">
      <c r="A194" s="4">
        <v>168</v>
      </c>
      <c r="B194" s="4">
        <v>727804.49568350834</v>
      </c>
      <c r="C194" s="4">
        <v>92924.794316491694</v>
      </c>
      <c r="L194" s="4">
        <v>168</v>
      </c>
      <c r="M194" s="4">
        <v>783211.19625967939</v>
      </c>
      <c r="N194" s="4">
        <v>37518.093740320648</v>
      </c>
      <c r="W194" s="4">
        <v>168</v>
      </c>
      <c r="X194" s="4">
        <v>680355.59229227679</v>
      </c>
      <c r="Y194" s="4">
        <v>140373.69770772324</v>
      </c>
      <c r="AH194" s="4">
        <v>168</v>
      </c>
      <c r="AI194" s="4">
        <v>682644.86572386383</v>
      </c>
      <c r="AJ194" s="4">
        <v>138084.42427613621</v>
      </c>
    </row>
    <row r="195" spans="1:36">
      <c r="A195" s="4">
        <v>169</v>
      </c>
      <c r="B195" s="4">
        <v>692937.04402789311</v>
      </c>
      <c r="C195" s="4">
        <v>46894.685972106876</v>
      </c>
      <c r="L195" s="4">
        <v>169</v>
      </c>
      <c r="M195" s="4">
        <v>780856.44620888517</v>
      </c>
      <c r="N195" s="4">
        <v>-41024.716208885191</v>
      </c>
      <c r="W195" s="4">
        <v>169</v>
      </c>
      <c r="X195" s="4">
        <v>678968.28774511302</v>
      </c>
      <c r="Y195" s="4">
        <v>60863.442254886962</v>
      </c>
      <c r="AH195" s="4">
        <v>169</v>
      </c>
      <c r="AI195" s="4">
        <v>677987.418647766</v>
      </c>
      <c r="AJ195" s="4">
        <v>61844.311352233985</v>
      </c>
    </row>
    <row r="196" spans="1:36">
      <c r="A196" s="4">
        <v>170</v>
      </c>
      <c r="B196" s="4">
        <v>630700.84395167872</v>
      </c>
      <c r="C196" s="4">
        <v>-37063.703951678704</v>
      </c>
      <c r="L196" s="4">
        <v>170</v>
      </c>
      <c r="M196" s="4">
        <v>716707.34634027747</v>
      </c>
      <c r="N196" s="4">
        <v>-123070.20634027745</v>
      </c>
      <c r="W196" s="4">
        <v>170</v>
      </c>
      <c r="X196" s="4">
        <v>684101.31456961902</v>
      </c>
      <c r="Y196" s="4">
        <v>-90464.174569619005</v>
      </c>
      <c r="AH196" s="4">
        <v>170</v>
      </c>
      <c r="AI196" s="4">
        <v>671333.92282476928</v>
      </c>
      <c r="AJ196" s="4">
        <v>-77696.782824769267</v>
      </c>
    </row>
    <row r="197" spans="1:36">
      <c r="A197" s="4">
        <v>171</v>
      </c>
      <c r="B197" s="4">
        <v>669013.18184021628</v>
      </c>
      <c r="C197" s="4">
        <v>100689.57815978373</v>
      </c>
      <c r="L197" s="4">
        <v>171</v>
      </c>
      <c r="M197" s="4">
        <v>765693.28300301288</v>
      </c>
      <c r="N197" s="4">
        <v>4009.4769969871268</v>
      </c>
      <c r="W197" s="4">
        <v>171</v>
      </c>
      <c r="X197" s="4">
        <v>676054.94819606899</v>
      </c>
      <c r="Y197" s="4">
        <v>93647.811803931021</v>
      </c>
      <c r="AH197" s="4">
        <v>171</v>
      </c>
      <c r="AI197" s="4">
        <v>672664.62198936869</v>
      </c>
      <c r="AJ197" s="4">
        <v>97038.138010631315</v>
      </c>
    </row>
    <row r="198" spans="1:36">
      <c r="A198" s="4">
        <v>172</v>
      </c>
      <c r="B198" s="4">
        <v>638733.66597460734</v>
      </c>
      <c r="C198" s="4">
        <v>40997.904025392607</v>
      </c>
      <c r="L198" s="4">
        <v>172</v>
      </c>
      <c r="M198" s="4">
        <v>720096.75929217832</v>
      </c>
      <c r="N198" s="4">
        <v>-40365.189292178373</v>
      </c>
      <c r="W198" s="4">
        <v>172</v>
      </c>
      <c r="X198" s="4">
        <v>681465.43593000784</v>
      </c>
      <c r="Y198" s="4">
        <v>-1733.8659300078871</v>
      </c>
      <c r="AH198" s="4">
        <v>172</v>
      </c>
      <c r="AI198" s="4">
        <v>683975.56488846312</v>
      </c>
      <c r="AJ198" s="4">
        <v>-4243.994888463174</v>
      </c>
    </row>
    <row r="199" spans="1:36">
      <c r="A199" s="4">
        <v>173</v>
      </c>
      <c r="B199" s="4">
        <v>699706.13345992344</v>
      </c>
      <c r="C199" s="4">
        <v>80638.046540076612</v>
      </c>
      <c r="L199" s="4">
        <v>173</v>
      </c>
      <c r="M199" s="4">
        <v>758272.25253990362</v>
      </c>
      <c r="N199" s="4">
        <v>22071.927460096427</v>
      </c>
      <c r="W199" s="4">
        <v>173</v>
      </c>
      <c r="X199" s="4">
        <v>676054.94819606899</v>
      </c>
      <c r="Y199" s="4">
        <v>104289.23180393106</v>
      </c>
      <c r="AH199" s="4">
        <v>173</v>
      </c>
      <c r="AI199" s="4">
        <v>694177.59181705816</v>
      </c>
      <c r="AJ199" s="4">
        <v>86166.588182941894</v>
      </c>
    </row>
    <row r="200" spans="1:36">
      <c r="A200" s="4">
        <v>174</v>
      </c>
      <c r="B200" s="4">
        <v>653724.74760591611</v>
      </c>
      <c r="C200" s="4">
        <v>67639.362394083873</v>
      </c>
      <c r="L200" s="4">
        <v>174</v>
      </c>
      <c r="M200" s="4">
        <v>784638.31750258501</v>
      </c>
      <c r="N200" s="4">
        <v>-63274.207502585021</v>
      </c>
      <c r="W200" s="4">
        <v>174</v>
      </c>
      <c r="X200" s="4">
        <v>682714.01002245524</v>
      </c>
      <c r="Y200" s="4">
        <v>38650.099977544742</v>
      </c>
      <c r="AH200" s="4">
        <v>174</v>
      </c>
      <c r="AI200" s="4">
        <v>682201.29933566402</v>
      </c>
      <c r="AJ200" s="4">
        <v>39162.810664335964</v>
      </c>
    </row>
    <row r="201" spans="1:36">
      <c r="A201" s="4">
        <v>175</v>
      </c>
      <c r="B201" s="4">
        <v>705673.9701749481</v>
      </c>
      <c r="C201" s="4">
        <v>52464.319825051934</v>
      </c>
      <c r="L201" s="4">
        <v>175</v>
      </c>
      <c r="M201" s="4">
        <v>796982.91625371855</v>
      </c>
      <c r="N201" s="4">
        <v>-38844.62625371851</v>
      </c>
      <c r="W201" s="4">
        <v>175</v>
      </c>
      <c r="X201" s="4">
        <v>680494.32274699316</v>
      </c>
      <c r="Y201" s="4">
        <v>77643.967253006878</v>
      </c>
      <c r="AH201" s="4">
        <v>175</v>
      </c>
      <c r="AI201" s="4">
        <v>670890.35643656948</v>
      </c>
      <c r="AJ201" s="4">
        <v>87247.933563430561</v>
      </c>
    </row>
    <row r="202" spans="1:36">
      <c r="A202" s="4">
        <v>176</v>
      </c>
      <c r="B202" s="4">
        <v>695034.16462749057</v>
      </c>
      <c r="C202" s="4">
        <v>109229.83537250943</v>
      </c>
      <c r="L202" s="4">
        <v>176</v>
      </c>
      <c r="M202" s="4">
        <v>817533.46215155954</v>
      </c>
      <c r="N202" s="4">
        <v>-13269.462151559535</v>
      </c>
      <c r="W202" s="4">
        <v>176</v>
      </c>
      <c r="X202" s="4">
        <v>675777.48728663626</v>
      </c>
      <c r="Y202" s="4">
        <v>128486.51271336374</v>
      </c>
      <c r="AH202" s="4">
        <v>176</v>
      </c>
      <c r="AI202" s="4">
        <v>693068.67584655876</v>
      </c>
      <c r="AJ202" s="4">
        <v>111195.32415344124</v>
      </c>
    </row>
    <row r="203" spans="1:36">
      <c r="A203" s="4">
        <v>177</v>
      </c>
      <c r="B203" s="4">
        <v>704511.09427156439</v>
      </c>
      <c r="C203" s="4">
        <v>183026.65572843561</v>
      </c>
      <c r="L203" s="4">
        <v>177</v>
      </c>
      <c r="M203" s="4">
        <v>887426.7250228622</v>
      </c>
      <c r="N203" s="4">
        <v>111.02497713780031</v>
      </c>
      <c r="W203" s="4">
        <v>177</v>
      </c>
      <c r="X203" s="4">
        <v>691454.02866958722</v>
      </c>
      <c r="Y203" s="4">
        <v>196083.72133041278</v>
      </c>
      <c r="AH203" s="4">
        <v>177</v>
      </c>
      <c r="AI203" s="4">
        <v>654700.18326727743</v>
      </c>
      <c r="AJ203" s="4">
        <v>232837.56673272257</v>
      </c>
    </row>
    <row r="204" spans="1:36">
      <c r="A204" s="4">
        <v>178</v>
      </c>
      <c r="B204" s="4">
        <v>623364.11621607933</v>
      </c>
      <c r="C204" s="4">
        <v>160217.88378392067</v>
      </c>
      <c r="L204" s="4">
        <v>178</v>
      </c>
      <c r="M204" s="4">
        <v>729158.97918462905</v>
      </c>
      <c r="N204" s="4">
        <v>54423.020815370954</v>
      </c>
      <c r="W204" s="4">
        <v>178</v>
      </c>
      <c r="X204" s="4">
        <v>673280.33910174132</v>
      </c>
      <c r="Y204" s="4">
        <v>110301.66089825868</v>
      </c>
      <c r="AH204" s="4">
        <v>178</v>
      </c>
      <c r="AI204" s="4">
        <v>686415.18002356193</v>
      </c>
      <c r="AJ204" s="4">
        <v>97166.81997643807</v>
      </c>
    </row>
    <row r="205" spans="1:36">
      <c r="A205" s="4">
        <v>179</v>
      </c>
      <c r="B205" s="4">
        <v>647099.87301507022</v>
      </c>
      <c r="C205" s="4">
        <v>134855.6469849298</v>
      </c>
      <c r="L205" s="4">
        <v>179</v>
      </c>
      <c r="M205" s="4">
        <v>762874.71854827437</v>
      </c>
      <c r="N205" s="4">
        <v>19080.801451725652</v>
      </c>
      <c r="W205" s="4">
        <v>179</v>
      </c>
      <c r="X205" s="4">
        <v>692147.68094316917</v>
      </c>
      <c r="Y205" s="4">
        <v>89807.839056830853</v>
      </c>
      <c r="AH205" s="4">
        <v>179</v>
      </c>
      <c r="AI205" s="4">
        <v>676878.5026772666</v>
      </c>
      <c r="AJ205" s="4">
        <v>105077.01732273342</v>
      </c>
    </row>
    <row r="206" spans="1:36">
      <c r="A206" s="4">
        <v>180</v>
      </c>
      <c r="B206" s="4">
        <v>720243.26811687439</v>
      </c>
      <c r="C206" s="4">
        <v>177787.77188312565</v>
      </c>
      <c r="L206" s="4">
        <v>180</v>
      </c>
      <c r="M206" s="4">
        <v>803155.21562928543</v>
      </c>
      <c r="N206" s="4">
        <v>94875.824370714603</v>
      </c>
      <c r="W206" s="4">
        <v>180</v>
      </c>
      <c r="X206" s="4">
        <v>696032.13367522776</v>
      </c>
      <c r="Y206" s="4">
        <v>201998.90632477228</v>
      </c>
      <c r="AH206" s="4">
        <v>180</v>
      </c>
      <c r="AI206" s="4">
        <v>683531.99850026332</v>
      </c>
      <c r="AJ206" s="4">
        <v>214499.04149973672</v>
      </c>
    </row>
    <row r="207" spans="1:36">
      <c r="A207" s="4">
        <v>181</v>
      </c>
      <c r="B207" s="4">
        <v>706634.32346467802</v>
      </c>
      <c r="C207" s="4">
        <v>148706.95653532201</v>
      </c>
      <c r="L207" s="4">
        <v>181</v>
      </c>
      <c r="M207" s="4">
        <v>844363.3415181851</v>
      </c>
      <c r="N207" s="4">
        <v>10977.938481814926</v>
      </c>
      <c r="W207" s="4">
        <v>181</v>
      </c>
      <c r="X207" s="4">
        <v>697696.89913182438</v>
      </c>
      <c r="Y207" s="4">
        <v>157644.38086817565</v>
      </c>
      <c r="AH207" s="4">
        <v>181</v>
      </c>
      <c r="AI207" s="4">
        <v>683088.43211206351</v>
      </c>
      <c r="AJ207" s="4">
        <v>172252.84788793651</v>
      </c>
    </row>
    <row r="208" spans="1:36">
      <c r="A208" s="4">
        <v>182</v>
      </c>
      <c r="B208" s="4">
        <v>657053.84882827743</v>
      </c>
      <c r="C208" s="4">
        <v>94340.03117172257</v>
      </c>
      <c r="L208" s="4">
        <v>182</v>
      </c>
      <c r="M208" s="4">
        <v>777752.45750556537</v>
      </c>
      <c r="N208" s="4">
        <v>-26358.577505565365</v>
      </c>
      <c r="W208" s="4">
        <v>182</v>
      </c>
      <c r="X208" s="4">
        <v>678274.63547153107</v>
      </c>
      <c r="Y208" s="4">
        <v>73119.244528468931</v>
      </c>
      <c r="AH208" s="4">
        <v>182</v>
      </c>
      <c r="AI208" s="4">
        <v>676434.9362890668</v>
      </c>
      <c r="AJ208" s="4">
        <v>74958.943710933207</v>
      </c>
    </row>
    <row r="209" spans="1:36">
      <c r="A209" s="4">
        <v>183</v>
      </c>
      <c r="B209" s="4">
        <v>694962.37664319749</v>
      </c>
      <c r="C209" s="4">
        <v>66114.703356802464</v>
      </c>
      <c r="L209" s="4">
        <v>183</v>
      </c>
      <c r="M209" s="4">
        <v>796483.42381870165</v>
      </c>
      <c r="N209" s="4">
        <v>-35406.343818701687</v>
      </c>
      <c r="W209" s="4">
        <v>183</v>
      </c>
      <c r="X209" s="4">
        <v>682159.08820358966</v>
      </c>
      <c r="Y209" s="4">
        <v>78917.991796410293</v>
      </c>
      <c r="AH209" s="4">
        <v>183</v>
      </c>
      <c r="AI209" s="4">
        <v>655143.74965547724</v>
      </c>
      <c r="AJ209" s="4">
        <v>105933.33034452272</v>
      </c>
    </row>
    <row r="210" spans="1:36">
      <c r="A210" s="4">
        <v>184</v>
      </c>
      <c r="B210" s="4">
        <v>684183.85055890062</v>
      </c>
      <c r="C210" s="4">
        <v>135476.73944109934</v>
      </c>
      <c r="L210" s="4">
        <v>184</v>
      </c>
      <c r="M210" s="4">
        <v>829628.31468518462</v>
      </c>
      <c r="N210" s="4">
        <v>-9967.7246851846576</v>
      </c>
      <c r="W210" s="4">
        <v>184</v>
      </c>
      <c r="X210" s="4">
        <v>688124.49775639409</v>
      </c>
      <c r="Y210" s="4">
        <v>131536.09224360588</v>
      </c>
      <c r="AH210" s="4">
        <v>184</v>
      </c>
      <c r="AI210" s="4">
        <v>684640.91447076283</v>
      </c>
      <c r="AJ210" s="4">
        <v>135019.67552923714</v>
      </c>
    </row>
    <row r="211" spans="1:36">
      <c r="A211" s="4">
        <v>185</v>
      </c>
      <c r="B211" s="4">
        <v>713982.44442828</v>
      </c>
      <c r="C211" s="4">
        <v>-32126.88442827994</v>
      </c>
      <c r="L211" s="4">
        <v>185</v>
      </c>
      <c r="M211" s="4">
        <v>663475.72397989803</v>
      </c>
      <c r="N211" s="4">
        <v>18379.836020102026</v>
      </c>
      <c r="W211" s="4">
        <v>185</v>
      </c>
      <c r="X211" s="4">
        <v>687847.03684696136</v>
      </c>
      <c r="Y211" s="4">
        <v>-5991.4768469613045</v>
      </c>
      <c r="AH211" s="4">
        <v>185</v>
      </c>
      <c r="AI211" s="4">
        <v>692625.10945835896</v>
      </c>
      <c r="AJ211" s="4">
        <v>-10769.549458358902</v>
      </c>
    </row>
    <row r="212" spans="1:36">
      <c r="A212" s="4">
        <v>186</v>
      </c>
      <c r="B212" s="4">
        <v>682478.06072150124</v>
      </c>
      <c r="C212" s="4">
        <v>-4166.8907215012005</v>
      </c>
      <c r="L212" s="4">
        <v>186</v>
      </c>
      <c r="M212" s="4">
        <v>633791.60212746111</v>
      </c>
      <c r="N212" s="4">
        <v>44519.56787253893</v>
      </c>
      <c r="W212" s="4">
        <v>186</v>
      </c>
      <c r="X212" s="4">
        <v>675500.02637720341</v>
      </c>
      <c r="Y212" s="4">
        <v>2811.1436227966333</v>
      </c>
      <c r="AH212" s="4">
        <v>186</v>
      </c>
      <c r="AI212" s="4">
        <v>696617.20695215696</v>
      </c>
      <c r="AJ212" s="4">
        <v>-18306.036952156923</v>
      </c>
    </row>
    <row r="213" spans="1:36">
      <c r="A213" s="4">
        <v>187</v>
      </c>
      <c r="B213" s="4">
        <v>663064.55389464647</v>
      </c>
      <c r="C213" s="4">
        <v>102842.39610535349</v>
      </c>
      <c r="L213" s="4">
        <v>187</v>
      </c>
      <c r="M213" s="4">
        <v>678888.63340327865</v>
      </c>
      <c r="N213" s="4">
        <v>87018.316596721299</v>
      </c>
      <c r="W213" s="4">
        <v>187</v>
      </c>
      <c r="X213" s="4">
        <v>688540.68912054319</v>
      </c>
      <c r="Y213" s="4">
        <v>77366.260879456764</v>
      </c>
      <c r="AH213" s="4">
        <v>187</v>
      </c>
      <c r="AI213" s="4">
        <v>704379.61874565319</v>
      </c>
      <c r="AJ213" s="4">
        <v>61527.331254346762</v>
      </c>
    </row>
    <row r="214" spans="1:36">
      <c r="A214" s="4">
        <v>188</v>
      </c>
      <c r="B214" s="4">
        <v>715778.05975299713</v>
      </c>
      <c r="C214" s="4">
        <v>-3231.6797529971227</v>
      </c>
      <c r="L214" s="4">
        <v>188</v>
      </c>
      <c r="M214" s="4">
        <v>729408.7254021375</v>
      </c>
      <c r="N214" s="4">
        <v>-16862.345402137493</v>
      </c>
      <c r="W214" s="4">
        <v>188</v>
      </c>
      <c r="X214" s="4">
        <v>684794.96684320096</v>
      </c>
      <c r="Y214" s="4">
        <v>27751.413156799041</v>
      </c>
      <c r="AH214" s="4">
        <v>188</v>
      </c>
      <c r="AI214" s="4">
        <v>650929.86896757921</v>
      </c>
      <c r="AJ214" s="4">
        <v>61616.511032420793</v>
      </c>
    </row>
    <row r="215" spans="1:36">
      <c r="A215" s="4">
        <v>189</v>
      </c>
      <c r="B215" s="4">
        <v>713344.16811109474</v>
      </c>
      <c r="C215" s="4">
        <v>-87350.338111094781</v>
      </c>
      <c r="L215" s="4">
        <v>189</v>
      </c>
      <c r="M215" s="4">
        <v>571497.75987463084</v>
      </c>
      <c r="N215" s="4">
        <v>54496.070125369122</v>
      </c>
      <c r="W215" s="4">
        <v>189</v>
      </c>
      <c r="X215" s="4">
        <v>697835.62958654074</v>
      </c>
      <c r="Y215" s="4">
        <v>-71841.799586540787</v>
      </c>
      <c r="AH215" s="4">
        <v>189</v>
      </c>
      <c r="AI215" s="4">
        <v>676434.9362890668</v>
      </c>
      <c r="AJ215" s="4">
        <v>-50441.10628906684</v>
      </c>
    </row>
    <row r="216" spans="1:36">
      <c r="A216" s="4">
        <v>190</v>
      </c>
      <c r="B216" s="4">
        <v>679583.39286596817</v>
      </c>
      <c r="C216" s="4">
        <v>-128620.46286596812</v>
      </c>
      <c r="L216" s="4">
        <v>190</v>
      </c>
      <c r="M216" s="4">
        <v>528898.19077389815</v>
      </c>
      <c r="N216" s="4">
        <v>22064.739226101898</v>
      </c>
      <c r="W216" s="4">
        <v>190</v>
      </c>
      <c r="X216" s="4">
        <v>689789.26321299071</v>
      </c>
      <c r="Y216" s="4">
        <v>-138826.33321299066</v>
      </c>
      <c r="AH216" s="4">
        <v>190</v>
      </c>
      <c r="AI216" s="4">
        <v>687302.31279996154</v>
      </c>
      <c r="AJ216" s="4">
        <v>-136339.38279996149</v>
      </c>
    </row>
    <row r="217" spans="1:36">
      <c r="A217" s="4">
        <v>191</v>
      </c>
      <c r="B217" s="4">
        <v>641074.85720249976</v>
      </c>
      <c r="C217" s="4">
        <v>-197799.26720249973</v>
      </c>
      <c r="L217" s="4">
        <v>191</v>
      </c>
      <c r="M217" s="4">
        <v>491650.32633406157</v>
      </c>
      <c r="N217" s="4">
        <v>-48374.736334061541</v>
      </c>
      <c r="W217" s="4">
        <v>191</v>
      </c>
      <c r="X217" s="4">
        <v>661904.44181499816</v>
      </c>
      <c r="Y217" s="4">
        <v>-218628.85181499814</v>
      </c>
      <c r="AH217" s="4">
        <v>191</v>
      </c>
      <c r="AI217" s="4">
        <v>671333.92282476928</v>
      </c>
      <c r="AJ217" s="4">
        <v>-228058.33282476926</v>
      </c>
    </row>
    <row r="218" spans="1:36">
      <c r="A218" s="4">
        <v>192</v>
      </c>
      <c r="B218" s="4">
        <v>677831.9662292985</v>
      </c>
      <c r="C218" s="4">
        <v>-123819.89622929855</v>
      </c>
      <c r="L218" s="4">
        <v>192</v>
      </c>
      <c r="M218" s="4">
        <v>604214.51436824212</v>
      </c>
      <c r="N218" s="4">
        <v>-50202.44436824217</v>
      </c>
      <c r="W218" s="4">
        <v>192</v>
      </c>
      <c r="X218" s="4">
        <v>672031.76500929391</v>
      </c>
      <c r="Y218" s="4">
        <v>-118019.69500929397</v>
      </c>
      <c r="AH218" s="4">
        <v>192</v>
      </c>
      <c r="AI218" s="4">
        <v>681535.94975336432</v>
      </c>
      <c r="AJ218" s="4">
        <v>-127523.87975336437</v>
      </c>
    </row>
    <row r="219" spans="1:36">
      <c r="A219" s="4">
        <v>193</v>
      </c>
      <c r="B219" s="4">
        <v>734969.66483071703</v>
      </c>
      <c r="C219" s="4">
        <v>-91540.814830717049</v>
      </c>
      <c r="L219" s="4">
        <v>193</v>
      </c>
      <c r="M219" s="4">
        <v>666793.78086965356</v>
      </c>
      <c r="N219" s="4">
        <v>-23364.930869653588</v>
      </c>
      <c r="W219" s="4">
        <v>193</v>
      </c>
      <c r="X219" s="4">
        <v>675083.83501305431</v>
      </c>
      <c r="Y219" s="4">
        <v>-31654.985013054335</v>
      </c>
      <c r="AH219" s="4">
        <v>193</v>
      </c>
      <c r="AI219" s="4">
        <v>679761.68420056521</v>
      </c>
      <c r="AJ219" s="4">
        <v>-36332.834200565238</v>
      </c>
    </row>
    <row r="220" spans="1:36">
      <c r="A220" s="4">
        <v>194</v>
      </c>
      <c r="B220" s="4">
        <v>669669.83639247855</v>
      </c>
      <c r="C220" s="4">
        <v>-57745.566392478533</v>
      </c>
      <c r="L220" s="4">
        <v>194</v>
      </c>
      <c r="M220" s="4">
        <v>630152.4429580518</v>
      </c>
      <c r="N220" s="4">
        <v>-18228.172958051786</v>
      </c>
      <c r="W220" s="4">
        <v>194</v>
      </c>
      <c r="X220" s="4">
        <v>677026.06137908367</v>
      </c>
      <c r="Y220" s="4">
        <v>-65101.791379083646</v>
      </c>
      <c r="AH220" s="4">
        <v>194</v>
      </c>
      <c r="AI220" s="4">
        <v>681092.38336516451</v>
      </c>
      <c r="AJ220" s="4">
        <v>-69168.113365164492</v>
      </c>
    </row>
    <row r="221" spans="1:36">
      <c r="A221" s="4">
        <v>195</v>
      </c>
      <c r="B221" s="4">
        <v>646429.24844865885</v>
      </c>
      <c r="C221" s="4">
        <v>-87007.228448658832</v>
      </c>
      <c r="L221" s="4">
        <v>195</v>
      </c>
      <c r="M221" s="4">
        <v>581380.57448175224</v>
      </c>
      <c r="N221" s="4">
        <v>-21958.554481752217</v>
      </c>
      <c r="W221" s="4">
        <v>195</v>
      </c>
      <c r="X221" s="4">
        <v>685488.61911678291</v>
      </c>
      <c r="Y221" s="4">
        <v>-126066.59911678289</v>
      </c>
      <c r="AH221" s="4">
        <v>195</v>
      </c>
      <c r="AI221" s="4">
        <v>676878.5026772666</v>
      </c>
      <c r="AJ221" s="4">
        <v>-117456.48267726658</v>
      </c>
    </row>
    <row r="222" spans="1:36">
      <c r="A222" s="4">
        <v>196</v>
      </c>
      <c r="B222" s="4">
        <v>649490.42779905617</v>
      </c>
      <c r="C222" s="4">
        <v>-200025.36779905617</v>
      </c>
      <c r="L222" s="4">
        <v>196</v>
      </c>
      <c r="M222" s="4">
        <v>558261.2103466813</v>
      </c>
      <c r="N222" s="4">
        <v>-108796.1503466813</v>
      </c>
      <c r="W222" s="4">
        <v>196</v>
      </c>
      <c r="X222" s="4">
        <v>666066.3554564896</v>
      </c>
      <c r="Y222" s="4">
        <v>-216601.29545648961</v>
      </c>
      <c r="AH222" s="4">
        <v>196</v>
      </c>
      <c r="AI222" s="4">
        <v>674217.10434806789</v>
      </c>
      <c r="AJ222" s="4">
        <v>-224752.0443480679</v>
      </c>
    </row>
    <row r="223" spans="1:36">
      <c r="A223" s="4">
        <v>197</v>
      </c>
      <c r="B223" s="4">
        <v>713790.42062099115</v>
      </c>
      <c r="C223" s="4">
        <v>-22342.990620991099</v>
      </c>
      <c r="L223" s="4">
        <v>197</v>
      </c>
      <c r="M223" s="4">
        <v>623730.39736497658</v>
      </c>
      <c r="N223" s="4">
        <v>67717.032635023468</v>
      </c>
      <c r="W223" s="4">
        <v>197</v>
      </c>
      <c r="X223" s="4">
        <v>684240.04502433538</v>
      </c>
      <c r="Y223" s="4">
        <v>7207.3849756646669</v>
      </c>
      <c r="AH223" s="4">
        <v>197</v>
      </c>
      <c r="AI223" s="4">
        <v>683531.99850026332</v>
      </c>
      <c r="AJ223" s="4">
        <v>7915.4314997367328</v>
      </c>
    </row>
    <row r="224" spans="1:36">
      <c r="A224" s="4">
        <v>198</v>
      </c>
      <c r="B224" s="4">
        <v>675780.43983746483</v>
      </c>
      <c r="C224" s="4">
        <v>-101713.82983746484</v>
      </c>
      <c r="L224" s="4">
        <v>198</v>
      </c>
      <c r="M224" s="4">
        <v>602180.86659710167</v>
      </c>
      <c r="N224" s="4">
        <v>-28114.256597101688</v>
      </c>
      <c r="W224" s="4">
        <v>198</v>
      </c>
      <c r="X224" s="4">
        <v>694089.90730919852</v>
      </c>
      <c r="Y224" s="4">
        <v>-120023.29730919853</v>
      </c>
      <c r="AH224" s="4">
        <v>198</v>
      </c>
      <c r="AI224" s="4">
        <v>685749.83044126222</v>
      </c>
      <c r="AJ224" s="4">
        <v>-111683.22044126224</v>
      </c>
    </row>
    <row r="225" spans="1:36">
      <c r="A225" s="4">
        <v>199</v>
      </c>
      <c r="B225" s="4">
        <v>676795.18248106143</v>
      </c>
      <c r="C225" s="4">
        <v>-97845.342481061467</v>
      </c>
      <c r="L225" s="4">
        <v>199</v>
      </c>
      <c r="M225" s="4">
        <v>625228.87467002741</v>
      </c>
      <c r="N225" s="4">
        <v>-46279.034670027439</v>
      </c>
      <c r="W225" s="4">
        <v>199</v>
      </c>
      <c r="X225" s="4">
        <v>658436.18044708867</v>
      </c>
      <c r="Y225" s="4">
        <v>-79486.340447088704</v>
      </c>
      <c r="AH225" s="4">
        <v>199</v>
      </c>
      <c r="AI225" s="4">
        <v>675547.80351266731</v>
      </c>
      <c r="AJ225" s="4">
        <v>-96597.963512667338</v>
      </c>
    </row>
    <row r="226" spans="1:36">
      <c r="A226" s="4">
        <v>200</v>
      </c>
      <c r="B226" s="4">
        <v>691515.80804576632</v>
      </c>
      <c r="C226" s="4">
        <v>44270.831954233698</v>
      </c>
      <c r="L226" s="4">
        <v>200</v>
      </c>
      <c r="M226" s="4">
        <v>645315.60616392398</v>
      </c>
      <c r="N226" s="4">
        <v>90471.033836076036</v>
      </c>
      <c r="W226" s="4">
        <v>200</v>
      </c>
      <c r="X226" s="4">
        <v>671615.57364514482</v>
      </c>
      <c r="Y226" s="4">
        <v>64171.066354855197</v>
      </c>
      <c r="AH226" s="4">
        <v>200</v>
      </c>
      <c r="AI226" s="4">
        <v>684419.13127666293</v>
      </c>
      <c r="AJ226" s="4">
        <v>51367.508723337087</v>
      </c>
    </row>
    <row r="227" spans="1:36">
      <c r="A227" s="4">
        <v>201</v>
      </c>
      <c r="B227" s="4">
        <v>608294.41066367598</v>
      </c>
      <c r="C227" s="4">
        <v>-9389.5106636759592</v>
      </c>
      <c r="L227" s="4">
        <v>201</v>
      </c>
      <c r="M227" s="4">
        <v>658873.2579715274</v>
      </c>
      <c r="N227" s="4">
        <v>-59968.357971527381</v>
      </c>
      <c r="W227" s="4">
        <v>201</v>
      </c>
      <c r="X227" s="4">
        <v>680771.78365642589</v>
      </c>
      <c r="Y227" s="4">
        <v>-81866.883656425867</v>
      </c>
      <c r="AH227" s="4">
        <v>201</v>
      </c>
      <c r="AI227" s="4">
        <v>671555.70601886918</v>
      </c>
      <c r="AJ227" s="4">
        <v>-72650.80601886916</v>
      </c>
    </row>
    <row r="228" spans="1:36">
      <c r="A228" s="4">
        <v>202</v>
      </c>
      <c r="B228" s="4">
        <v>727122.6695508738</v>
      </c>
      <c r="C228" s="4">
        <v>60592.840449126204</v>
      </c>
      <c r="L228" s="4">
        <v>202</v>
      </c>
      <c r="M228" s="4">
        <v>674357.52345705335</v>
      </c>
      <c r="N228" s="4">
        <v>113357.98654294666</v>
      </c>
      <c r="W228" s="4">
        <v>202</v>
      </c>
      <c r="X228" s="4">
        <v>677026.06137908367</v>
      </c>
      <c r="Y228" s="4">
        <v>110689.44862091634</v>
      </c>
      <c r="AH228" s="4">
        <v>202</v>
      </c>
      <c r="AI228" s="4">
        <v>670890.35643656948</v>
      </c>
      <c r="AJ228" s="4">
        <v>116825.15356343053</v>
      </c>
    </row>
    <row r="229" spans="1:36">
      <c r="A229" s="4">
        <v>203</v>
      </c>
      <c r="B229" s="4">
        <v>635745.27550890716</v>
      </c>
      <c r="C229" s="4">
        <v>-28660.355508907116</v>
      </c>
      <c r="L229" s="4">
        <v>203</v>
      </c>
      <c r="M229" s="4">
        <v>692446.28521088208</v>
      </c>
      <c r="N229" s="4">
        <v>-85361.365210882039</v>
      </c>
      <c r="W229" s="4">
        <v>203</v>
      </c>
      <c r="X229" s="4">
        <v>693396.25503561657</v>
      </c>
      <c r="Y229" s="4">
        <v>-86311.335035616532</v>
      </c>
      <c r="AH229" s="4">
        <v>203</v>
      </c>
      <c r="AI229" s="4">
        <v>664015.07741947286</v>
      </c>
      <c r="AJ229" s="4">
        <v>-56930.157419472816</v>
      </c>
    </row>
    <row r="230" spans="1:36">
      <c r="A230" s="4">
        <v>204</v>
      </c>
      <c r="B230" s="4">
        <v>697292.23853034712</v>
      </c>
      <c r="C230" s="4">
        <v>-46496.748530347133</v>
      </c>
      <c r="L230" s="4">
        <v>204</v>
      </c>
      <c r="M230" s="4">
        <v>661013.93983588577</v>
      </c>
      <c r="N230" s="4">
        <v>-10218.449835885782</v>
      </c>
      <c r="W230" s="4">
        <v>204</v>
      </c>
      <c r="X230" s="4">
        <v>680216.86183756043</v>
      </c>
      <c r="Y230" s="4">
        <v>-29421.371837560437</v>
      </c>
      <c r="AH230" s="4">
        <v>204</v>
      </c>
      <c r="AI230" s="4">
        <v>681535.94975336432</v>
      </c>
      <c r="AJ230" s="4">
        <v>-30740.459753364325</v>
      </c>
    </row>
    <row r="231" spans="1:36">
      <c r="A231" s="4">
        <v>205</v>
      </c>
      <c r="B231" s="4">
        <v>756890.23550773016</v>
      </c>
      <c r="C231" s="4">
        <v>68170.284492269857</v>
      </c>
      <c r="L231" s="4">
        <v>205</v>
      </c>
      <c r="M231" s="4">
        <v>784495.60537829436</v>
      </c>
      <c r="N231" s="4">
        <v>40564.914621705655</v>
      </c>
      <c r="W231" s="4">
        <v>205</v>
      </c>
      <c r="X231" s="4">
        <v>688124.49775639409</v>
      </c>
      <c r="Y231" s="4">
        <v>136936.02224360593</v>
      </c>
      <c r="AH231" s="4">
        <v>205</v>
      </c>
      <c r="AI231" s="4">
        <v>693955.80862295826</v>
      </c>
      <c r="AJ231" s="4">
        <v>131104.71137704176</v>
      </c>
    </row>
    <row r="232" spans="1:36">
      <c r="A232" s="4">
        <v>206</v>
      </c>
      <c r="B232" s="4">
        <v>676415.13846809976</v>
      </c>
      <c r="C232" s="4">
        <v>119049.33153190021</v>
      </c>
      <c r="L232" s="4">
        <v>206</v>
      </c>
      <c r="M232" s="4">
        <v>727375.07763099705</v>
      </c>
      <c r="N232" s="4">
        <v>68089.392369002919</v>
      </c>
      <c r="W232" s="4">
        <v>206</v>
      </c>
      <c r="X232" s="4">
        <v>682991.47093188798</v>
      </c>
      <c r="Y232" s="4">
        <v>112472.999068112</v>
      </c>
      <c r="AH232" s="4">
        <v>206</v>
      </c>
      <c r="AI232" s="4">
        <v>693512.24223475845</v>
      </c>
      <c r="AJ232" s="4">
        <v>101952.22776524152</v>
      </c>
    </row>
    <row r="233" spans="1:36">
      <c r="A233" s="4">
        <v>207</v>
      </c>
      <c r="B233" s="4">
        <v>641665.75046864618</v>
      </c>
      <c r="C233" s="4">
        <v>30202.839531353791</v>
      </c>
      <c r="L233" s="4">
        <v>207</v>
      </c>
      <c r="M233" s="4">
        <v>777609.74538127473</v>
      </c>
      <c r="N233" s="4">
        <v>-105741.15538127476</v>
      </c>
      <c r="W233" s="4">
        <v>207</v>
      </c>
      <c r="X233" s="4">
        <v>677164.79183380003</v>
      </c>
      <c r="Y233" s="4">
        <v>-5296.2018338000635</v>
      </c>
      <c r="AH233" s="4">
        <v>207</v>
      </c>
      <c r="AI233" s="4">
        <v>669337.87407787028</v>
      </c>
      <c r="AJ233" s="4">
        <v>2530.7159221296897</v>
      </c>
    </row>
    <row r="234" spans="1:36">
      <c r="A234" s="4">
        <v>208</v>
      </c>
      <c r="B234" s="4">
        <v>680914.84595228394</v>
      </c>
      <c r="C234" s="4">
        <v>-4997.2159522839356</v>
      </c>
      <c r="L234" s="4">
        <v>208</v>
      </c>
      <c r="M234" s="4">
        <v>742645.27493008715</v>
      </c>
      <c r="N234" s="4">
        <v>-66727.644930087146</v>
      </c>
      <c r="W234" s="4">
        <v>208</v>
      </c>
      <c r="X234" s="4">
        <v>681742.89683944057</v>
      </c>
      <c r="Y234" s="4">
        <v>-5825.2668394405628</v>
      </c>
      <c r="AH234" s="4">
        <v>208</v>
      </c>
      <c r="AI234" s="4">
        <v>692403.32626425906</v>
      </c>
      <c r="AJ234" s="4">
        <v>-16485.696264259052</v>
      </c>
    </row>
    <row r="235" spans="1:36">
      <c r="A235" s="4">
        <v>209</v>
      </c>
      <c r="B235" s="4">
        <v>695914.21163161704</v>
      </c>
      <c r="C235" s="4">
        <v>114532.31836838298</v>
      </c>
      <c r="L235" s="4">
        <v>209</v>
      </c>
      <c r="M235" s="4">
        <v>807650.64754443802</v>
      </c>
      <c r="N235" s="4">
        <v>2795.8824555620085</v>
      </c>
      <c r="W235" s="4">
        <v>209</v>
      </c>
      <c r="X235" s="4">
        <v>684378.77547905187</v>
      </c>
      <c r="Y235" s="4">
        <v>126067.75452094816</v>
      </c>
      <c r="AH235" s="4">
        <v>209</v>
      </c>
      <c r="AI235" s="4">
        <v>677765.63545366609</v>
      </c>
      <c r="AJ235" s="4">
        <v>132680.89454633393</v>
      </c>
    </row>
    <row r="236" spans="1:36">
      <c r="A236" s="4">
        <v>210</v>
      </c>
      <c r="B236" s="4">
        <v>694833.47344861843</v>
      </c>
      <c r="C236" s="4">
        <v>-3545.2834486184875</v>
      </c>
      <c r="L236" s="4">
        <v>210</v>
      </c>
      <c r="M236" s="4">
        <v>783853.40081898682</v>
      </c>
      <c r="N236" s="4">
        <v>-92565.210818986874</v>
      </c>
      <c r="W236" s="4">
        <v>210</v>
      </c>
      <c r="X236" s="4">
        <v>674112.72183003963</v>
      </c>
      <c r="Y236" s="4">
        <v>17175.46816996031</v>
      </c>
      <c r="AH236" s="4">
        <v>210</v>
      </c>
      <c r="AI236" s="4">
        <v>673108.1883775685</v>
      </c>
      <c r="AJ236" s="4">
        <v>18180.001622431446</v>
      </c>
    </row>
    <row r="237" spans="1:36">
      <c r="A237" s="4">
        <v>211</v>
      </c>
      <c r="B237" s="4">
        <v>790707.99818862299</v>
      </c>
      <c r="C237" s="4">
        <v>156125.54181137704</v>
      </c>
      <c r="L237" s="4">
        <v>211</v>
      </c>
      <c r="M237" s="4">
        <v>905586.84283883614</v>
      </c>
      <c r="N237" s="4">
        <v>41246.697161163902</v>
      </c>
      <c r="W237" s="4">
        <v>211</v>
      </c>
      <c r="X237" s="4">
        <v>693812.44639976567</v>
      </c>
      <c r="Y237" s="4">
        <v>253021.09360023437</v>
      </c>
      <c r="AH237" s="4">
        <v>211</v>
      </c>
      <c r="AI237" s="4">
        <v>688189.44557636115</v>
      </c>
      <c r="AJ237" s="4">
        <v>258644.09442363889</v>
      </c>
    </row>
    <row r="238" spans="1:36">
      <c r="A238" s="4">
        <v>212</v>
      </c>
      <c r="B238" s="4">
        <v>665990.6116905082</v>
      </c>
      <c r="C238" s="4">
        <v>95972.61830949178</v>
      </c>
      <c r="L238" s="4">
        <v>212</v>
      </c>
      <c r="M238" s="4">
        <v>794342.74195434316</v>
      </c>
      <c r="N238" s="4">
        <v>-32379.511954343179</v>
      </c>
      <c r="W238" s="4">
        <v>212</v>
      </c>
      <c r="X238" s="4">
        <v>684933.69729791733</v>
      </c>
      <c r="Y238" s="4">
        <v>77029.532702082652</v>
      </c>
      <c r="AH238" s="4">
        <v>212</v>
      </c>
      <c r="AI238" s="4">
        <v>677765.63545366609</v>
      </c>
      <c r="AJ238" s="4">
        <v>84197.594546333887</v>
      </c>
    </row>
    <row r="239" spans="1:36">
      <c r="A239" s="4">
        <v>213</v>
      </c>
      <c r="B239" s="4">
        <v>669146.02474915131</v>
      </c>
      <c r="C239" s="4">
        <v>143006.57525084866</v>
      </c>
      <c r="L239" s="4">
        <v>213</v>
      </c>
      <c r="M239" s="4">
        <v>785530.268279401</v>
      </c>
      <c r="N239" s="4">
        <v>26622.331720598973</v>
      </c>
      <c r="W239" s="4">
        <v>213</v>
      </c>
      <c r="X239" s="4">
        <v>685211.15820735006</v>
      </c>
      <c r="Y239" s="4">
        <v>126941.44179264992</v>
      </c>
      <c r="AH239" s="4">
        <v>213</v>
      </c>
      <c r="AI239" s="4">
        <v>683753.78169436322</v>
      </c>
      <c r="AJ239" s="4">
        <v>128398.81830563676</v>
      </c>
    </row>
    <row r="240" spans="1:36">
      <c r="A240" s="4">
        <v>214</v>
      </c>
      <c r="B240" s="4">
        <v>649835.01438281348</v>
      </c>
      <c r="C240" s="4">
        <v>155140.48561718652</v>
      </c>
      <c r="L240" s="4">
        <v>214</v>
      </c>
      <c r="M240" s="4">
        <v>782212.21138964547</v>
      </c>
      <c r="N240" s="4">
        <v>22763.288610354532</v>
      </c>
      <c r="W240" s="4">
        <v>214</v>
      </c>
      <c r="X240" s="4">
        <v>677026.06137908367</v>
      </c>
      <c r="Y240" s="4">
        <v>127949.43862091633</v>
      </c>
      <c r="AH240" s="4">
        <v>214</v>
      </c>
      <c r="AI240" s="4">
        <v>686636.96321766183</v>
      </c>
      <c r="AJ240" s="4">
        <v>118338.53678233817</v>
      </c>
    </row>
    <row r="241" spans="1:36">
      <c r="A241" s="4">
        <v>215</v>
      </c>
      <c r="B241" s="4">
        <v>635943.98618272447</v>
      </c>
      <c r="C241" s="4">
        <v>116377.7338172755</v>
      </c>
      <c r="L241" s="4">
        <v>215</v>
      </c>
      <c r="M241" s="4">
        <v>790489.514598498</v>
      </c>
      <c r="N241" s="4">
        <v>-38167.794598498032</v>
      </c>
      <c r="W241" s="4">
        <v>215</v>
      </c>
      <c r="X241" s="4">
        <v>697835.62958654074</v>
      </c>
      <c r="Y241" s="4">
        <v>54486.090413459227</v>
      </c>
      <c r="AH241" s="4">
        <v>215</v>
      </c>
      <c r="AI241" s="4">
        <v>679983.46739466512</v>
      </c>
      <c r="AJ241" s="4">
        <v>72338.252605334856</v>
      </c>
    </row>
    <row r="242" spans="1:36">
      <c r="A242" s="4">
        <v>216</v>
      </c>
      <c r="B242" s="4">
        <v>661700.24146102602</v>
      </c>
      <c r="C242" s="4">
        <v>175207.99853897397</v>
      </c>
      <c r="L242" s="4">
        <v>216</v>
      </c>
      <c r="M242" s="4">
        <v>846860.80369326996</v>
      </c>
      <c r="N242" s="4">
        <v>-9952.5636932699708</v>
      </c>
      <c r="W242" s="4">
        <v>216</v>
      </c>
      <c r="X242" s="4">
        <v>677442.25274323276</v>
      </c>
      <c r="Y242" s="4">
        <v>159465.98725676723</v>
      </c>
      <c r="AH242" s="4">
        <v>216</v>
      </c>
      <c r="AI242" s="4">
        <v>680870.60017106473</v>
      </c>
      <c r="AJ242" s="4">
        <v>156037.63982893527</v>
      </c>
    </row>
    <row r="243" spans="1:36">
      <c r="A243" s="4">
        <v>217</v>
      </c>
      <c r="B243" s="4">
        <v>708102.51658277819</v>
      </c>
      <c r="C243" s="4">
        <v>-33813.416582778213</v>
      </c>
      <c r="L243" s="4">
        <v>217</v>
      </c>
      <c r="M243" s="4">
        <v>638857.88253977604</v>
      </c>
      <c r="N243" s="4">
        <v>35431.217460223939</v>
      </c>
      <c r="W243" s="4">
        <v>217</v>
      </c>
      <c r="X243" s="4">
        <v>680355.59229227679</v>
      </c>
      <c r="Y243" s="4">
        <v>-6066.4922922768164</v>
      </c>
      <c r="AH243" s="4">
        <v>217</v>
      </c>
      <c r="AI243" s="4">
        <v>668672.52449557057</v>
      </c>
      <c r="AJ243" s="4">
        <v>5616.5755044294056</v>
      </c>
    </row>
    <row r="244" spans="1:36">
      <c r="A244" s="4">
        <v>218</v>
      </c>
      <c r="B244" s="4">
        <v>633155.92486809066</v>
      </c>
      <c r="C244" s="4">
        <v>-10263.504868090618</v>
      </c>
      <c r="L244" s="4">
        <v>218</v>
      </c>
      <c r="M244" s="4">
        <v>625300.23073217273</v>
      </c>
      <c r="N244" s="4">
        <v>-2407.8107321726857</v>
      </c>
      <c r="W244" s="4">
        <v>218</v>
      </c>
      <c r="X244" s="4">
        <v>663707.93772631104</v>
      </c>
      <c r="Y244" s="4">
        <v>-40815.517726310994</v>
      </c>
      <c r="AH244" s="4">
        <v>218</v>
      </c>
      <c r="AI244" s="4">
        <v>693955.80862295826</v>
      </c>
      <c r="AJ244" s="4">
        <v>-71063.388622958213</v>
      </c>
    </row>
    <row r="245" spans="1:36">
      <c r="A245" s="4">
        <v>219</v>
      </c>
      <c r="B245" s="4">
        <v>685965.13384166313</v>
      </c>
      <c r="C245" s="4">
        <v>-12616.573841663077</v>
      </c>
      <c r="L245" s="4">
        <v>219</v>
      </c>
      <c r="M245" s="4">
        <v>605784.34773543838</v>
      </c>
      <c r="N245" s="4">
        <v>67564.212264561676</v>
      </c>
      <c r="W245" s="4">
        <v>219</v>
      </c>
      <c r="X245" s="4">
        <v>666066.3554564896</v>
      </c>
      <c r="Y245" s="4">
        <v>7282.2045435104519</v>
      </c>
      <c r="AH245" s="4">
        <v>219</v>
      </c>
      <c r="AI245" s="4">
        <v>685971.61363536213</v>
      </c>
      <c r="AJ245" s="4">
        <v>-12623.05363536207</v>
      </c>
    </row>
    <row r="246" spans="1:36">
      <c r="A246" s="4">
        <v>220</v>
      </c>
      <c r="B246" s="4">
        <v>595812.79930264573</v>
      </c>
      <c r="C246" s="4">
        <v>10465.50069735432</v>
      </c>
      <c r="L246" s="4">
        <v>220</v>
      </c>
      <c r="M246" s="4">
        <v>613312.41229176545</v>
      </c>
      <c r="N246" s="4">
        <v>-7034.1122917653993</v>
      </c>
      <c r="W246" s="4">
        <v>220</v>
      </c>
      <c r="X246" s="4">
        <v>679384.47910926212</v>
      </c>
      <c r="Y246" s="4">
        <v>-73106.17910926207</v>
      </c>
      <c r="AH246" s="4">
        <v>220</v>
      </c>
      <c r="AI246" s="4">
        <v>697504.33972855657</v>
      </c>
      <c r="AJ246" s="4">
        <v>-91226.039728556527</v>
      </c>
    </row>
    <row r="247" spans="1:36">
      <c r="A247" s="4">
        <v>221</v>
      </c>
      <c r="B247" s="4">
        <v>674427.94654691254</v>
      </c>
      <c r="C247" s="4">
        <v>37791.863453087513</v>
      </c>
      <c r="L247" s="4">
        <v>221</v>
      </c>
      <c r="M247" s="4">
        <v>706539.10748457501</v>
      </c>
      <c r="N247" s="4">
        <v>5680.7025154250441</v>
      </c>
      <c r="W247" s="4">
        <v>221</v>
      </c>
      <c r="X247" s="4">
        <v>677580.98319794913</v>
      </c>
      <c r="Y247" s="4">
        <v>34638.826802050928</v>
      </c>
      <c r="AH247" s="4">
        <v>221</v>
      </c>
      <c r="AI247" s="4">
        <v>685749.83044126222</v>
      </c>
      <c r="AJ247" s="4">
        <v>26469.979558737832</v>
      </c>
    </row>
    <row r="248" spans="1:36">
      <c r="A248" s="4">
        <v>222</v>
      </c>
      <c r="B248" s="4">
        <v>618690.37983612448</v>
      </c>
      <c r="C248" s="4">
        <v>53980.160163875553</v>
      </c>
      <c r="L248" s="4">
        <v>222</v>
      </c>
      <c r="M248" s="4">
        <v>710570.72499578341</v>
      </c>
      <c r="N248" s="4">
        <v>-37900.184995783377</v>
      </c>
      <c r="W248" s="4">
        <v>222</v>
      </c>
      <c r="X248" s="4">
        <v>685627.34957149928</v>
      </c>
      <c r="Y248" s="4">
        <v>-12956.809571499238</v>
      </c>
      <c r="AH248" s="4">
        <v>222</v>
      </c>
      <c r="AI248" s="4">
        <v>684862.69766486273</v>
      </c>
      <c r="AJ248" s="4">
        <v>-12192.157664862694</v>
      </c>
    </row>
    <row r="249" spans="1:36">
      <c r="A249" s="4">
        <v>223</v>
      </c>
      <c r="B249" s="4">
        <v>703379.54442124953</v>
      </c>
      <c r="C249" s="4">
        <v>29288.375578750507</v>
      </c>
      <c r="L249" s="4">
        <v>223</v>
      </c>
      <c r="M249" s="4">
        <v>727553.4677863603</v>
      </c>
      <c r="N249" s="4">
        <v>5114.4522136397427</v>
      </c>
      <c r="W249" s="4">
        <v>223</v>
      </c>
      <c r="X249" s="4">
        <v>681742.89683944057</v>
      </c>
      <c r="Y249" s="4">
        <v>50925.023160559474</v>
      </c>
      <c r="AH249" s="4">
        <v>223</v>
      </c>
      <c r="AI249" s="4">
        <v>685306.26405306254</v>
      </c>
      <c r="AJ249" s="4">
        <v>47361.655946937506</v>
      </c>
    </row>
    <row r="250" spans="1:36">
      <c r="A250" s="4">
        <v>224</v>
      </c>
      <c r="B250" s="4">
        <v>717388.42331996735</v>
      </c>
      <c r="C250" s="4">
        <v>6142.9766800326761</v>
      </c>
      <c r="L250" s="4">
        <v>224</v>
      </c>
      <c r="M250" s="4">
        <v>759413.94953422819</v>
      </c>
      <c r="N250" s="4">
        <v>-35882.549534228165</v>
      </c>
      <c r="W250" s="4">
        <v>224</v>
      </c>
      <c r="X250" s="4">
        <v>692980.06367146748</v>
      </c>
      <c r="Y250" s="4">
        <v>30551.336328532547</v>
      </c>
      <c r="AH250" s="4">
        <v>224</v>
      </c>
      <c r="AI250" s="4">
        <v>671999.27240706899</v>
      </c>
      <c r="AJ250" s="4">
        <v>51532.127592931036</v>
      </c>
    </row>
    <row r="251" spans="1:36">
      <c r="A251" s="4">
        <v>225</v>
      </c>
      <c r="B251" s="4">
        <v>706040.55527183937</v>
      </c>
      <c r="C251" s="4">
        <v>-64475.955271839397</v>
      </c>
      <c r="L251" s="4">
        <v>225</v>
      </c>
      <c r="M251" s="4">
        <v>614561.14337930793</v>
      </c>
      <c r="N251" s="4">
        <v>27003.456620692043</v>
      </c>
      <c r="W251" s="4">
        <v>225</v>
      </c>
      <c r="X251" s="4">
        <v>670366.99955269741</v>
      </c>
      <c r="Y251" s="4">
        <v>-28802.399552697432</v>
      </c>
      <c r="AH251" s="4">
        <v>225</v>
      </c>
      <c r="AI251" s="4">
        <v>668007.17491327086</v>
      </c>
      <c r="AJ251" s="4">
        <v>-26442.574913270888</v>
      </c>
    </row>
    <row r="252" spans="1:36">
      <c r="A252" s="4">
        <v>226</v>
      </c>
      <c r="B252" s="4">
        <v>682644.38055458595</v>
      </c>
      <c r="C252" s="4">
        <v>-146098.89055458596</v>
      </c>
      <c r="L252" s="4">
        <v>226</v>
      </c>
      <c r="M252" s="4">
        <v>547807.54724239768</v>
      </c>
      <c r="N252" s="4">
        <v>-11262.057242397685</v>
      </c>
      <c r="W252" s="4">
        <v>226</v>
      </c>
      <c r="X252" s="4">
        <v>682297.81865830615</v>
      </c>
      <c r="Y252" s="4">
        <v>-145752.32865830616</v>
      </c>
      <c r="AH252" s="4">
        <v>226</v>
      </c>
      <c r="AI252" s="4">
        <v>661131.89589617425</v>
      </c>
      <c r="AJ252" s="4">
        <v>-124586.40589617426</v>
      </c>
    </row>
    <row r="253" spans="1:36">
      <c r="A253" s="4">
        <v>227</v>
      </c>
      <c r="B253" s="4">
        <v>652204.31600503006</v>
      </c>
      <c r="C253" s="4">
        <v>-124522.75600503001</v>
      </c>
      <c r="L253" s="4">
        <v>227</v>
      </c>
      <c r="M253" s="4">
        <v>584555.91924721724</v>
      </c>
      <c r="N253" s="4">
        <v>-56874.359247217188</v>
      </c>
      <c r="W253" s="4">
        <v>227</v>
      </c>
      <c r="X253" s="4">
        <v>674112.72183003963</v>
      </c>
      <c r="Y253" s="4">
        <v>-146431.16183003958</v>
      </c>
      <c r="AH253" s="4">
        <v>227</v>
      </c>
      <c r="AI253" s="4">
        <v>669337.87407787028</v>
      </c>
      <c r="AJ253" s="4">
        <v>-141656.31407787022</v>
      </c>
    </row>
    <row r="254" spans="1:36">
      <c r="A254" s="4">
        <v>228</v>
      </c>
      <c r="B254" s="4">
        <v>644557.92672104586</v>
      </c>
      <c r="C254" s="4">
        <v>-114958.98672104592</v>
      </c>
      <c r="L254" s="4">
        <v>228</v>
      </c>
      <c r="M254" s="4">
        <v>495467.87565883406</v>
      </c>
      <c r="N254" s="4">
        <v>34131.064341165882</v>
      </c>
      <c r="W254" s="4">
        <v>228</v>
      </c>
      <c r="X254" s="4">
        <v>684933.69729791733</v>
      </c>
      <c r="Y254" s="4">
        <v>-155334.75729791739</v>
      </c>
      <c r="AH254" s="4">
        <v>228</v>
      </c>
      <c r="AI254" s="4">
        <v>695508.29098165757</v>
      </c>
      <c r="AJ254" s="4">
        <v>-165909.35098165763</v>
      </c>
    </row>
    <row r="255" spans="1:36">
      <c r="A255" s="4">
        <v>229</v>
      </c>
      <c r="B255" s="4">
        <v>640262.10477872519</v>
      </c>
      <c r="C255" s="4">
        <v>-69298.794778725132</v>
      </c>
      <c r="L255" s="4">
        <v>229</v>
      </c>
      <c r="M255" s="4">
        <v>658944.61403367261</v>
      </c>
      <c r="N255" s="4">
        <v>-87981.304033672553</v>
      </c>
      <c r="W255" s="4">
        <v>229</v>
      </c>
      <c r="X255" s="4">
        <v>687985.76730167773</v>
      </c>
      <c r="Y255" s="4">
        <v>-117022.45730167767</v>
      </c>
      <c r="AH255" s="4">
        <v>229</v>
      </c>
      <c r="AI255" s="4">
        <v>675326.02031856729</v>
      </c>
      <c r="AJ255" s="4">
        <v>-104362.71031856723</v>
      </c>
    </row>
    <row r="256" spans="1:36">
      <c r="A256" s="4">
        <v>230</v>
      </c>
      <c r="B256" s="4">
        <v>802986.72490819369</v>
      </c>
      <c r="C256" s="4">
        <v>67950.675091806334</v>
      </c>
      <c r="L256" s="4">
        <v>230</v>
      </c>
      <c r="M256" s="4">
        <v>766121.41937588458</v>
      </c>
      <c r="N256" s="4">
        <v>104815.98062411544</v>
      </c>
      <c r="W256" s="4">
        <v>230</v>
      </c>
      <c r="X256" s="4">
        <v>669812.07773383183</v>
      </c>
      <c r="Y256" s="4">
        <v>201125.32226616819</v>
      </c>
      <c r="AH256" s="4">
        <v>230</v>
      </c>
      <c r="AI256" s="4">
        <v>675991.36990086699</v>
      </c>
      <c r="AJ256" s="4">
        <v>194946.03009913303</v>
      </c>
    </row>
    <row r="257" spans="1:36">
      <c r="A257" s="4">
        <v>231</v>
      </c>
      <c r="B257" s="4">
        <v>631423.77088813565</v>
      </c>
      <c r="C257" s="4">
        <v>-34454.500888135633</v>
      </c>
      <c r="L257" s="4">
        <v>231</v>
      </c>
      <c r="M257" s="4">
        <v>679923.29630438518</v>
      </c>
      <c r="N257" s="4">
        <v>-82954.026304385159</v>
      </c>
      <c r="W257" s="4">
        <v>231</v>
      </c>
      <c r="X257" s="4">
        <v>674390.18273947237</v>
      </c>
      <c r="Y257" s="4">
        <v>-77420.912739472347</v>
      </c>
      <c r="AH257" s="4">
        <v>231</v>
      </c>
      <c r="AI257" s="4">
        <v>671999.27240706899</v>
      </c>
      <c r="AJ257" s="4">
        <v>-75030.002407068969</v>
      </c>
    </row>
    <row r="258" spans="1:36">
      <c r="A258" s="4">
        <v>232</v>
      </c>
      <c r="B258" s="4">
        <v>615758.89162317745</v>
      </c>
      <c r="C258" s="4">
        <v>31753.958376822527</v>
      </c>
      <c r="L258" s="4">
        <v>232</v>
      </c>
      <c r="M258" s="4">
        <v>641105.59849735245</v>
      </c>
      <c r="N258" s="4">
        <v>6407.2515026475303</v>
      </c>
      <c r="W258" s="4">
        <v>232</v>
      </c>
      <c r="X258" s="4">
        <v>697835.62958654074</v>
      </c>
      <c r="Y258" s="4">
        <v>-50322.779586540768</v>
      </c>
      <c r="AH258" s="4">
        <v>232</v>
      </c>
      <c r="AI258" s="4">
        <v>696395.42375805706</v>
      </c>
      <c r="AJ258" s="4">
        <v>-48882.573758057086</v>
      </c>
    </row>
    <row r="259" spans="1:36">
      <c r="A259" s="4">
        <v>233</v>
      </c>
      <c r="B259" s="4">
        <v>661382.57270940952</v>
      </c>
      <c r="C259" s="4">
        <v>-3310.4327094095061</v>
      </c>
      <c r="L259" s="4">
        <v>233</v>
      </c>
      <c r="M259" s="4">
        <v>598541.70742769237</v>
      </c>
      <c r="N259" s="4">
        <v>59530.432572307647</v>
      </c>
      <c r="W259" s="4">
        <v>233</v>
      </c>
      <c r="X259" s="4">
        <v>688263.22821111046</v>
      </c>
      <c r="Y259" s="4">
        <v>-30191.088211110444</v>
      </c>
      <c r="AH259" s="4">
        <v>233</v>
      </c>
      <c r="AI259" s="4">
        <v>696173.64056395716</v>
      </c>
      <c r="AJ259" s="4">
        <v>-38101.500563957146</v>
      </c>
    </row>
    <row r="260" spans="1:36">
      <c r="A260" s="4">
        <v>234</v>
      </c>
      <c r="B260" s="4">
        <v>692067.34675985877</v>
      </c>
      <c r="C260" s="4">
        <v>31237.763240141212</v>
      </c>
      <c r="L260" s="4">
        <v>234</v>
      </c>
      <c r="M260" s="4">
        <v>636253.38627147325</v>
      </c>
      <c r="N260" s="4">
        <v>87051.723728526733</v>
      </c>
      <c r="W260" s="4">
        <v>234</v>
      </c>
      <c r="X260" s="4">
        <v>680355.59229227679</v>
      </c>
      <c r="Y260" s="4">
        <v>42949.517707723193</v>
      </c>
      <c r="AH260" s="4">
        <v>234</v>
      </c>
      <c r="AI260" s="4">
        <v>682644.86572386383</v>
      </c>
      <c r="AJ260" s="4">
        <v>40660.24427613616</v>
      </c>
    </row>
    <row r="261" spans="1:36">
      <c r="A261" s="4">
        <v>235</v>
      </c>
      <c r="B261" s="4">
        <v>694051.9405991463</v>
      </c>
      <c r="C261" s="4">
        <v>-53385.410599146271</v>
      </c>
      <c r="L261" s="4">
        <v>235</v>
      </c>
      <c r="M261" s="4">
        <v>641890.51518095052</v>
      </c>
      <c r="N261" s="4">
        <v>-1223.9851809504908</v>
      </c>
      <c r="W261" s="4">
        <v>235</v>
      </c>
      <c r="X261" s="4">
        <v>691176.56776015449</v>
      </c>
      <c r="Y261" s="4">
        <v>-50510.037760154461</v>
      </c>
      <c r="AH261" s="4">
        <v>235</v>
      </c>
      <c r="AI261" s="4">
        <v>664902.21019587247</v>
      </c>
      <c r="AJ261" s="4">
        <v>-24235.680195872439</v>
      </c>
    </row>
    <row r="262" spans="1:36">
      <c r="A262" s="4">
        <v>236</v>
      </c>
      <c r="B262" s="4">
        <v>662878.00309594965</v>
      </c>
      <c r="C262" s="4">
        <v>7751.4769040503306</v>
      </c>
      <c r="L262" s="4">
        <v>236</v>
      </c>
      <c r="M262" s="4">
        <v>666508.35662107239</v>
      </c>
      <c r="N262" s="4">
        <v>4121.1233789275866</v>
      </c>
      <c r="W262" s="4">
        <v>236</v>
      </c>
      <c r="X262" s="4">
        <v>681326.70547529147</v>
      </c>
      <c r="Y262" s="4">
        <v>-10697.225475291489</v>
      </c>
      <c r="AH262" s="4">
        <v>236</v>
      </c>
      <c r="AI262" s="4">
        <v>689298.36154686054</v>
      </c>
      <c r="AJ262" s="4">
        <v>-18668.881546860561</v>
      </c>
    </row>
    <row r="263" spans="1:36">
      <c r="A263" s="4">
        <v>237</v>
      </c>
      <c r="B263" s="4">
        <v>659792.80213585717</v>
      </c>
      <c r="C263" s="4">
        <v>61286.547864142805</v>
      </c>
      <c r="L263" s="4">
        <v>237</v>
      </c>
      <c r="M263" s="4">
        <v>799908.5148016751</v>
      </c>
      <c r="N263" s="4">
        <v>-78829.164801675128</v>
      </c>
      <c r="W263" s="4">
        <v>237</v>
      </c>
      <c r="X263" s="4">
        <v>681049.24456585874</v>
      </c>
      <c r="Y263" s="4">
        <v>40030.105434141238</v>
      </c>
      <c r="AH263" s="4">
        <v>237</v>
      </c>
      <c r="AI263" s="4">
        <v>683088.43211206351</v>
      </c>
      <c r="AJ263" s="4">
        <v>37990.917887936463</v>
      </c>
    </row>
    <row r="264" spans="1:36">
      <c r="A264" s="4">
        <v>238</v>
      </c>
      <c r="B264" s="4">
        <v>716155.31402227969</v>
      </c>
      <c r="C264" s="4">
        <v>94199.705977720325</v>
      </c>
      <c r="L264" s="4">
        <v>238</v>
      </c>
      <c r="M264" s="4">
        <v>803048.18153606751</v>
      </c>
      <c r="N264" s="4">
        <v>7306.8384639325086</v>
      </c>
      <c r="W264" s="4">
        <v>238</v>
      </c>
      <c r="X264" s="4">
        <v>683130.20138660434</v>
      </c>
      <c r="Y264" s="4">
        <v>127224.81861339568</v>
      </c>
      <c r="AH264" s="4">
        <v>238</v>
      </c>
      <c r="AI264" s="4">
        <v>682423.08252976392</v>
      </c>
      <c r="AJ264" s="4">
        <v>127931.93747023609</v>
      </c>
    </row>
    <row r="265" spans="1:36">
      <c r="A265" s="4">
        <v>239</v>
      </c>
      <c r="B265" s="4">
        <v>686550.17077565868</v>
      </c>
      <c r="C265" s="4">
        <v>75369.079224341316</v>
      </c>
      <c r="L265" s="4">
        <v>239</v>
      </c>
      <c r="M265" s="4">
        <v>792558.84040071117</v>
      </c>
      <c r="N265" s="4">
        <v>-30639.590400711168</v>
      </c>
      <c r="W265" s="4">
        <v>239</v>
      </c>
      <c r="X265" s="4">
        <v>669950.8081885482</v>
      </c>
      <c r="Y265" s="4">
        <v>91968.441811451805</v>
      </c>
      <c r="AH265" s="4">
        <v>239</v>
      </c>
      <c r="AI265" s="4">
        <v>664236.86061357276</v>
      </c>
      <c r="AJ265" s="4">
        <v>97682.38938642724</v>
      </c>
    </row>
    <row r="266" spans="1:36">
      <c r="A266" s="4">
        <v>240</v>
      </c>
      <c r="B266" s="4">
        <v>616674.65160554764</v>
      </c>
      <c r="C266" s="4">
        <v>120395.52839445241</v>
      </c>
      <c r="L266" s="4">
        <v>240</v>
      </c>
      <c r="M266" s="4">
        <v>778715.76434452669</v>
      </c>
      <c r="N266" s="4">
        <v>-41645.584344526636</v>
      </c>
      <c r="W266" s="4">
        <v>240</v>
      </c>
      <c r="X266" s="4">
        <v>672031.76500929391</v>
      </c>
      <c r="Y266" s="4">
        <v>65038.414990706136</v>
      </c>
      <c r="AH266" s="4">
        <v>240</v>
      </c>
      <c r="AI266" s="4">
        <v>670446.79004836967</v>
      </c>
      <c r="AJ266" s="4">
        <v>66623.389951630379</v>
      </c>
    </row>
    <row r="267" spans="1:36">
      <c r="A267" s="4">
        <v>241</v>
      </c>
      <c r="B267" s="4">
        <v>709634.91639700532</v>
      </c>
      <c r="C267" s="4">
        <v>67358.013602994732</v>
      </c>
      <c r="L267" s="4">
        <v>241</v>
      </c>
      <c r="M267" s="4">
        <v>733797.12322407239</v>
      </c>
      <c r="N267" s="4">
        <v>43195.80677592766</v>
      </c>
      <c r="W267" s="4">
        <v>241</v>
      </c>
      <c r="X267" s="4">
        <v>658852.37181123777</v>
      </c>
      <c r="Y267" s="4">
        <v>118140.55818876228</v>
      </c>
      <c r="AH267" s="4">
        <v>241</v>
      </c>
      <c r="AI267" s="4">
        <v>674660.6707362677</v>
      </c>
      <c r="AJ267" s="4">
        <v>102332.25926373235</v>
      </c>
    </row>
    <row r="268" spans="1:36">
      <c r="A268" s="4">
        <v>242</v>
      </c>
      <c r="B268" s="4">
        <v>671050.16323256248</v>
      </c>
      <c r="C268" s="4">
        <v>5287.2467674375512</v>
      </c>
      <c r="L268" s="4">
        <v>242</v>
      </c>
      <c r="M268" s="4">
        <v>647920.10243222676</v>
      </c>
      <c r="N268" s="4">
        <v>28417.30756777327</v>
      </c>
      <c r="W268" s="4">
        <v>242</v>
      </c>
      <c r="X268" s="4">
        <v>689650.53275827423</v>
      </c>
      <c r="Y268" s="4">
        <v>-13313.122758274199</v>
      </c>
      <c r="AH268" s="4">
        <v>242</v>
      </c>
      <c r="AI268" s="4">
        <v>674438.88754216779</v>
      </c>
      <c r="AJ268" s="4">
        <v>1898.5224578322377</v>
      </c>
    </row>
    <row r="269" spans="1:36">
      <c r="A269" s="4">
        <v>243</v>
      </c>
      <c r="B269" s="4">
        <v>711550.511995679</v>
      </c>
      <c r="C269" s="4">
        <v>116669.15800432104</v>
      </c>
      <c r="L269" s="4">
        <v>243</v>
      </c>
      <c r="M269" s="4">
        <v>805902.42402187875</v>
      </c>
      <c r="N269" s="4">
        <v>22317.245978121297</v>
      </c>
      <c r="W269" s="4">
        <v>243</v>
      </c>
      <c r="X269" s="4">
        <v>676748.60046965093</v>
      </c>
      <c r="Y269" s="4">
        <v>151471.06953034911</v>
      </c>
      <c r="AH269" s="4">
        <v>243</v>
      </c>
      <c r="AI269" s="4">
        <v>672886.40518346848</v>
      </c>
      <c r="AJ269" s="4">
        <v>155333.26481653156</v>
      </c>
    </row>
    <row r="270" spans="1:36">
      <c r="A270" s="4">
        <v>244</v>
      </c>
      <c r="B270" s="4">
        <v>674808.30999617337</v>
      </c>
      <c r="C270" s="4">
        <v>88351.610003826674</v>
      </c>
      <c r="L270" s="4">
        <v>244</v>
      </c>
      <c r="M270" s="4">
        <v>731977.54363936768</v>
      </c>
      <c r="N270" s="4">
        <v>31182.376360632363</v>
      </c>
      <c r="W270" s="4">
        <v>244</v>
      </c>
      <c r="X270" s="4">
        <v>697835.62958654074</v>
      </c>
      <c r="Y270" s="4">
        <v>65324.290413459297</v>
      </c>
      <c r="AH270" s="4">
        <v>244</v>
      </c>
      <c r="AI270" s="4">
        <v>695951.85736985737</v>
      </c>
      <c r="AJ270" s="4">
        <v>67208.062630142667</v>
      </c>
    </row>
    <row r="271" spans="1:36">
      <c r="A271" s="4">
        <v>245</v>
      </c>
      <c r="B271" s="4">
        <v>724631.55621991912</v>
      </c>
      <c r="C271" s="4">
        <v>77370.123780080932</v>
      </c>
      <c r="L271" s="4">
        <v>245</v>
      </c>
      <c r="M271" s="4">
        <v>765158.11253692326</v>
      </c>
      <c r="N271" s="4">
        <v>36843.56746307679</v>
      </c>
      <c r="W271" s="4">
        <v>245</v>
      </c>
      <c r="X271" s="4">
        <v>686182.27139036474</v>
      </c>
      <c r="Y271" s="4">
        <v>115819.40860963531</v>
      </c>
      <c r="AH271" s="4">
        <v>245</v>
      </c>
      <c r="AI271" s="4">
        <v>686636.96321766183</v>
      </c>
      <c r="AJ271" s="4">
        <v>115364.71678233822</v>
      </c>
    </row>
    <row r="272" spans="1:36">
      <c r="A272" s="4">
        <v>246</v>
      </c>
      <c r="B272" s="4">
        <v>663126.39676215965</v>
      </c>
      <c r="C272" s="4">
        <v>87344.943237840314</v>
      </c>
      <c r="L272" s="4">
        <v>246</v>
      </c>
      <c r="M272" s="4">
        <v>757986.82829132257</v>
      </c>
      <c r="N272" s="4">
        <v>-7515.4882913226029</v>
      </c>
      <c r="W272" s="4">
        <v>246</v>
      </c>
      <c r="X272" s="4">
        <v>697835.62958654074</v>
      </c>
      <c r="Y272" s="4">
        <v>52635.710413459223</v>
      </c>
      <c r="AH272" s="4">
        <v>246</v>
      </c>
      <c r="AI272" s="4">
        <v>684197.34808256302</v>
      </c>
      <c r="AJ272" s="4">
        <v>66273.991917436942</v>
      </c>
    </row>
    <row r="273" spans="1:36">
      <c r="A273" s="4">
        <v>247</v>
      </c>
      <c r="B273" s="4">
        <v>682993.75868283038</v>
      </c>
      <c r="C273" s="4">
        <v>-3762.8986828303896</v>
      </c>
      <c r="L273" s="4">
        <v>247</v>
      </c>
      <c r="M273" s="4">
        <v>709500.38406360417</v>
      </c>
      <c r="N273" s="4">
        <v>-30269.524063604185</v>
      </c>
      <c r="W273" s="4">
        <v>247</v>
      </c>
      <c r="X273" s="4">
        <v>668702.23409610079</v>
      </c>
      <c r="Y273" s="4">
        <v>10528.625903899199</v>
      </c>
      <c r="AH273" s="4">
        <v>247</v>
      </c>
      <c r="AI273" s="4">
        <v>688411.22877046093</v>
      </c>
      <c r="AJ273" s="4">
        <v>-9180.3687704609474</v>
      </c>
    </row>
    <row r="274" spans="1:36">
      <c r="A274" s="4">
        <v>248</v>
      </c>
      <c r="B274" s="4">
        <v>606640.26302797056</v>
      </c>
      <c r="C274" s="4">
        <v>73248.476972029428</v>
      </c>
      <c r="L274" s="4">
        <v>248</v>
      </c>
      <c r="M274" s="4">
        <v>736080.51721272129</v>
      </c>
      <c r="N274" s="4">
        <v>-56191.777212721296</v>
      </c>
      <c r="W274" s="4">
        <v>248</v>
      </c>
      <c r="X274" s="4">
        <v>666343.81636592234</v>
      </c>
      <c r="Y274" s="4">
        <v>13544.923634077655</v>
      </c>
      <c r="AH274" s="4">
        <v>248</v>
      </c>
      <c r="AI274" s="4">
        <v>685306.26405306254</v>
      </c>
      <c r="AJ274" s="4">
        <v>-5417.5240530625451</v>
      </c>
    </row>
    <row r="275" spans="1:36">
      <c r="A275" s="4">
        <v>249</v>
      </c>
      <c r="B275" s="4">
        <v>647927.38339586509</v>
      </c>
      <c r="C275" s="4">
        <v>-41143.713395865052</v>
      </c>
      <c r="L275" s="4">
        <v>249</v>
      </c>
      <c r="M275" s="4">
        <v>584662.95334043517</v>
      </c>
      <c r="N275" s="4">
        <v>22120.716659564874</v>
      </c>
      <c r="W275" s="4">
        <v>249</v>
      </c>
      <c r="X275" s="4">
        <v>677026.06137908367</v>
      </c>
      <c r="Y275" s="4">
        <v>-70242.391379083623</v>
      </c>
      <c r="AH275" s="4">
        <v>249</v>
      </c>
      <c r="AI275" s="4">
        <v>697947.90611675638</v>
      </c>
      <c r="AJ275" s="4">
        <v>-91164.236116756336</v>
      </c>
    </row>
    <row r="276" spans="1:36">
      <c r="A276" s="4">
        <v>250</v>
      </c>
      <c r="B276" s="4">
        <v>716092.7045076486</v>
      </c>
      <c r="C276" s="4">
        <v>-73341.284507648554</v>
      </c>
      <c r="L276" s="4">
        <v>250</v>
      </c>
      <c r="M276" s="4">
        <v>652094.43206772569</v>
      </c>
      <c r="N276" s="4">
        <v>-9343.0120677256491</v>
      </c>
      <c r="W276" s="4">
        <v>250</v>
      </c>
      <c r="X276" s="4">
        <v>694228.63776391488</v>
      </c>
      <c r="Y276" s="4">
        <v>-51477.217763914843</v>
      </c>
      <c r="AH276" s="4">
        <v>250</v>
      </c>
      <c r="AI276" s="4">
        <v>666232.90936047176</v>
      </c>
      <c r="AJ276" s="4">
        <v>-23481.489360471722</v>
      </c>
    </row>
    <row r="277" spans="1:36">
      <c r="A277" s="4">
        <v>251</v>
      </c>
      <c r="B277" s="4">
        <v>642471.96509616508</v>
      </c>
      <c r="C277" s="4">
        <v>5481.8149038349511</v>
      </c>
      <c r="L277" s="4">
        <v>251</v>
      </c>
      <c r="M277" s="4">
        <v>671967.09537518641</v>
      </c>
      <c r="N277" s="4">
        <v>-24013.315375186387</v>
      </c>
      <c r="W277" s="4">
        <v>251</v>
      </c>
      <c r="X277" s="4">
        <v>659962.21544896881</v>
      </c>
      <c r="Y277" s="4">
        <v>-12008.435448968783</v>
      </c>
      <c r="AH277" s="4">
        <v>251</v>
      </c>
      <c r="AI277" s="4">
        <v>680870.60017106473</v>
      </c>
      <c r="AJ277" s="4">
        <v>-32916.820171064697</v>
      </c>
    </row>
    <row r="278" spans="1:36">
      <c r="A278" s="4">
        <v>252</v>
      </c>
      <c r="B278" s="4">
        <v>768370.35018370138</v>
      </c>
      <c r="C278" s="4">
        <v>-38929.900183701422</v>
      </c>
      <c r="L278" s="4">
        <v>252</v>
      </c>
      <c r="M278" s="4">
        <v>690448.31547081424</v>
      </c>
      <c r="N278" s="4">
        <v>38992.134529185714</v>
      </c>
      <c r="W278" s="4">
        <v>252</v>
      </c>
      <c r="X278" s="4">
        <v>685766.08002621564</v>
      </c>
      <c r="Y278" s="4">
        <v>43674.369973784313</v>
      </c>
      <c r="AH278" s="4">
        <v>252</v>
      </c>
      <c r="AI278" s="4">
        <v>660466.54631387466</v>
      </c>
      <c r="AJ278" s="4">
        <v>68973.903686125297</v>
      </c>
    </row>
    <row r="279" spans="1:36">
      <c r="A279" s="4">
        <v>253</v>
      </c>
      <c r="B279" s="4">
        <v>734980.44048187463</v>
      </c>
      <c r="C279" s="4">
        <v>29968.559518125374</v>
      </c>
      <c r="L279" s="4">
        <v>253</v>
      </c>
      <c r="M279" s="4">
        <v>688378.98966860096</v>
      </c>
      <c r="N279" s="4">
        <v>76570.01033139904</v>
      </c>
      <c r="W279" s="4">
        <v>253</v>
      </c>
      <c r="X279" s="4">
        <v>690899.10685072176</v>
      </c>
      <c r="Y279" s="4">
        <v>74049.893149278243</v>
      </c>
      <c r="AH279" s="4">
        <v>253</v>
      </c>
      <c r="AI279" s="4">
        <v>704379.61874565319</v>
      </c>
      <c r="AJ279" s="4">
        <v>60569.381254346808</v>
      </c>
    </row>
    <row r="280" spans="1:36">
      <c r="A280" s="4">
        <v>254</v>
      </c>
      <c r="B280" s="4">
        <v>696180.23818153958</v>
      </c>
      <c r="C280" s="4">
        <v>102866.70181846037</v>
      </c>
      <c r="L280" s="4">
        <v>254</v>
      </c>
      <c r="M280" s="4">
        <v>691019.16396797635</v>
      </c>
      <c r="N280" s="4">
        <v>108027.7760320236</v>
      </c>
      <c r="W280" s="4">
        <v>254</v>
      </c>
      <c r="X280" s="4">
        <v>687569.57593752863</v>
      </c>
      <c r="Y280" s="4">
        <v>111477.36406247132</v>
      </c>
      <c r="AH280" s="4">
        <v>254</v>
      </c>
      <c r="AI280" s="4">
        <v>683310.21530616342</v>
      </c>
      <c r="AJ280" s="4">
        <v>115736.72469383653</v>
      </c>
    </row>
    <row r="281" spans="1:36">
      <c r="A281" s="4">
        <v>255</v>
      </c>
      <c r="B281" s="4">
        <v>721374.4559393836</v>
      </c>
      <c r="C281" s="4">
        <v>-1294.915939383558</v>
      </c>
      <c r="L281" s="4">
        <v>255</v>
      </c>
      <c r="M281" s="4">
        <v>647670.35621471819</v>
      </c>
      <c r="N281" s="4">
        <v>72409.183785281843</v>
      </c>
      <c r="W281" s="4">
        <v>255</v>
      </c>
      <c r="X281" s="4">
        <v>689650.53275827423</v>
      </c>
      <c r="Y281" s="4">
        <v>30429.007241725805</v>
      </c>
      <c r="AH281" s="4">
        <v>255</v>
      </c>
      <c r="AI281" s="4">
        <v>679761.68420056521</v>
      </c>
      <c r="AJ281" s="4">
        <v>40317.855799434823</v>
      </c>
    </row>
    <row r="282" spans="1:36">
      <c r="A282" s="4">
        <v>256</v>
      </c>
      <c r="B282" s="4">
        <v>638059.8044536981</v>
      </c>
      <c r="C282" s="4">
        <v>-25669.664453698089</v>
      </c>
      <c r="L282" s="4">
        <v>256</v>
      </c>
      <c r="M282" s="4">
        <v>652879.34875132376</v>
      </c>
      <c r="N282" s="4">
        <v>-40489.208751323749</v>
      </c>
      <c r="W282" s="4">
        <v>256</v>
      </c>
      <c r="X282" s="4">
        <v>697835.62958654074</v>
      </c>
      <c r="Y282" s="4">
        <v>-85445.489586540731</v>
      </c>
      <c r="AH282" s="4">
        <v>256</v>
      </c>
      <c r="AI282" s="4">
        <v>680648.81697696471</v>
      </c>
      <c r="AJ282" s="4">
        <v>-68258.676976964693</v>
      </c>
    </row>
    <row r="283" spans="1:36">
      <c r="A283" s="4">
        <v>257</v>
      </c>
      <c r="B283" s="4">
        <v>699780.22138557024</v>
      </c>
      <c r="C283" s="4">
        <v>140327.89861442975</v>
      </c>
      <c r="L283" s="4">
        <v>257</v>
      </c>
      <c r="M283" s="4">
        <v>737721.70664206275</v>
      </c>
      <c r="N283" s="4">
        <v>102386.41335793724</v>
      </c>
      <c r="W283" s="4">
        <v>257</v>
      </c>
      <c r="X283" s="4">
        <v>690760.37639600527</v>
      </c>
      <c r="Y283" s="4">
        <v>149347.74360399472</v>
      </c>
      <c r="AH283" s="4">
        <v>257</v>
      </c>
      <c r="AI283" s="4">
        <v>679539.90100646531</v>
      </c>
      <c r="AJ283" s="4">
        <v>160568.21899353468</v>
      </c>
    </row>
    <row r="284" spans="1:36">
      <c r="A284" s="4">
        <v>258</v>
      </c>
      <c r="B284" s="4">
        <v>621833.18580882833</v>
      </c>
      <c r="C284" s="4">
        <v>76054.904191171634</v>
      </c>
      <c r="L284" s="4">
        <v>258</v>
      </c>
      <c r="M284" s="4">
        <v>716635.99027813226</v>
      </c>
      <c r="N284" s="4">
        <v>-18747.900278132292</v>
      </c>
      <c r="W284" s="4">
        <v>258</v>
      </c>
      <c r="X284" s="4">
        <v>682020.3577488733</v>
      </c>
      <c r="Y284" s="4">
        <v>15867.732251126668</v>
      </c>
      <c r="AH284" s="4">
        <v>258</v>
      </c>
      <c r="AI284" s="4">
        <v>668228.95810737077</v>
      </c>
      <c r="AJ284" s="4">
        <v>29659.131892629201</v>
      </c>
    </row>
    <row r="285" spans="1:36">
      <c r="A285" s="4">
        <v>259</v>
      </c>
      <c r="B285" s="4">
        <v>654881.87365591538</v>
      </c>
      <c r="C285" s="4">
        <v>91233.716344084591</v>
      </c>
      <c r="L285" s="4">
        <v>259</v>
      </c>
      <c r="M285" s="4">
        <v>754454.70321513107</v>
      </c>
      <c r="N285" s="4">
        <v>-8339.1132151311031</v>
      </c>
      <c r="W285" s="4">
        <v>259</v>
      </c>
      <c r="X285" s="4">
        <v>677997.17456209834</v>
      </c>
      <c r="Y285" s="4">
        <v>68118.415437901625</v>
      </c>
      <c r="AH285" s="4">
        <v>259</v>
      </c>
      <c r="AI285" s="4">
        <v>678874.55142416561</v>
      </c>
      <c r="AJ285" s="4">
        <v>67241.038575834362</v>
      </c>
    </row>
    <row r="286" spans="1:36">
      <c r="A286" s="4">
        <v>260</v>
      </c>
      <c r="B286" s="4">
        <v>642548.39555467223</v>
      </c>
      <c r="C286" s="4">
        <v>133561.92444532772</v>
      </c>
      <c r="L286" s="4">
        <v>260</v>
      </c>
      <c r="M286" s="4">
        <v>725983.63441916415</v>
      </c>
      <c r="N286" s="4">
        <v>50126.685580835794</v>
      </c>
      <c r="W286" s="4">
        <v>260</v>
      </c>
      <c r="X286" s="4">
        <v>696864.51640352607</v>
      </c>
      <c r="Y286" s="4">
        <v>79245.803596473881</v>
      </c>
      <c r="AH286" s="4">
        <v>260</v>
      </c>
      <c r="AI286" s="4">
        <v>689298.36154686054</v>
      </c>
      <c r="AJ286" s="4">
        <v>86811.958453139407</v>
      </c>
    </row>
    <row r="287" spans="1:36">
      <c r="A287" s="4">
        <v>261</v>
      </c>
      <c r="B287" s="4">
        <v>591697.43757358496</v>
      </c>
      <c r="C287" s="4">
        <v>-62844.817573584965</v>
      </c>
      <c r="L287" s="4">
        <v>261</v>
      </c>
      <c r="M287" s="4">
        <v>555121.54361228889</v>
      </c>
      <c r="N287" s="4">
        <v>-26268.923612288898</v>
      </c>
      <c r="W287" s="4">
        <v>261</v>
      </c>
      <c r="X287" s="4">
        <v>679107.01819982938</v>
      </c>
      <c r="Y287" s="4">
        <v>-150254.39819982939</v>
      </c>
      <c r="AH287" s="4">
        <v>261</v>
      </c>
      <c r="AI287" s="4">
        <v>685084.48085896252</v>
      </c>
      <c r="AJ287" s="4">
        <v>-156231.86085896252</v>
      </c>
    </row>
    <row r="288" spans="1:36">
      <c r="A288" s="4">
        <v>262</v>
      </c>
      <c r="B288" s="4">
        <v>652962.82814521098</v>
      </c>
      <c r="C288" s="4">
        <v>-47211.498145211022</v>
      </c>
      <c r="L288" s="4">
        <v>262</v>
      </c>
      <c r="M288" s="4">
        <v>617058.60555439279</v>
      </c>
      <c r="N288" s="4">
        <v>-11307.275554392836</v>
      </c>
      <c r="W288" s="4">
        <v>262</v>
      </c>
      <c r="X288" s="4">
        <v>674390.18273947237</v>
      </c>
      <c r="Y288" s="4">
        <v>-68638.852739472408</v>
      </c>
      <c r="AH288" s="4">
        <v>262</v>
      </c>
      <c r="AI288" s="4">
        <v>678430.9850359658</v>
      </c>
      <c r="AJ288" s="4">
        <v>-72679.655035965843</v>
      </c>
    </row>
    <row r="289" spans="1:36">
      <c r="A289" s="4">
        <v>263</v>
      </c>
      <c r="B289" s="4">
        <v>670345.16732036392</v>
      </c>
      <c r="C289" s="4">
        <v>7295.4826796361012</v>
      </c>
      <c r="L289" s="4">
        <v>263</v>
      </c>
      <c r="M289" s="4">
        <v>621304.29125203693</v>
      </c>
      <c r="N289" s="4">
        <v>56336.358747963095</v>
      </c>
      <c r="W289" s="4">
        <v>263</v>
      </c>
      <c r="X289" s="4">
        <v>685904.81048093201</v>
      </c>
      <c r="Y289" s="4">
        <v>-8264.1604809319833</v>
      </c>
      <c r="AH289" s="4">
        <v>263</v>
      </c>
      <c r="AI289" s="4">
        <v>670446.79004836967</v>
      </c>
      <c r="AJ289" s="4">
        <v>7193.8599516303511</v>
      </c>
    </row>
    <row r="290" spans="1:36">
      <c r="A290" s="4">
        <v>264</v>
      </c>
      <c r="B290" s="4">
        <v>685758.41596461402</v>
      </c>
      <c r="C290" s="4">
        <v>-49145.185964614036</v>
      </c>
      <c r="L290" s="4">
        <v>264</v>
      </c>
      <c r="M290" s="4">
        <v>589907.62390811334</v>
      </c>
      <c r="N290" s="4">
        <v>46705.606091886642</v>
      </c>
      <c r="W290" s="4">
        <v>264</v>
      </c>
      <c r="X290" s="4">
        <v>667731.12091308611</v>
      </c>
      <c r="Y290" s="4">
        <v>-31117.890913086128</v>
      </c>
      <c r="AH290" s="4">
        <v>264</v>
      </c>
      <c r="AI290" s="4">
        <v>692846.89265245874</v>
      </c>
      <c r="AJ290" s="4">
        <v>-56233.662652458763</v>
      </c>
    </row>
    <row r="291" spans="1:36">
      <c r="A291" s="4">
        <v>265</v>
      </c>
      <c r="B291" s="4">
        <v>686383.76575956075</v>
      </c>
      <c r="C291" s="4">
        <v>22601.424240439199</v>
      </c>
      <c r="L291" s="4">
        <v>265</v>
      </c>
      <c r="M291" s="4">
        <v>707716.48250997218</v>
      </c>
      <c r="N291" s="4">
        <v>1268.7074900277657</v>
      </c>
      <c r="W291" s="4">
        <v>265</v>
      </c>
      <c r="X291" s="4">
        <v>684794.96684320096</v>
      </c>
      <c r="Y291" s="4">
        <v>24190.22315679898</v>
      </c>
      <c r="AH291" s="4">
        <v>265</v>
      </c>
      <c r="AI291" s="4">
        <v>697282.55653445667</v>
      </c>
      <c r="AJ291" s="4">
        <v>11702.633465543273</v>
      </c>
    </row>
    <row r="292" spans="1:36">
      <c r="A292" s="4">
        <v>266</v>
      </c>
      <c r="B292" s="4">
        <v>717204.32153289719</v>
      </c>
      <c r="C292" s="4">
        <v>50588.618467102759</v>
      </c>
      <c r="L292" s="4">
        <v>266</v>
      </c>
      <c r="M292" s="4">
        <v>736437.29752344778</v>
      </c>
      <c r="N292" s="4">
        <v>31355.642476552166</v>
      </c>
      <c r="W292" s="4">
        <v>266</v>
      </c>
      <c r="X292" s="4">
        <v>668563.50364138442</v>
      </c>
      <c r="Y292" s="4">
        <v>99229.436358615523</v>
      </c>
      <c r="AH292" s="4">
        <v>266</v>
      </c>
      <c r="AI292" s="4">
        <v>673773.53795986809</v>
      </c>
      <c r="AJ292" s="4">
        <v>94019.402040131856</v>
      </c>
    </row>
    <row r="293" spans="1:36">
      <c r="A293" s="4">
        <v>267</v>
      </c>
      <c r="B293" s="4">
        <v>681316.3986760542</v>
      </c>
      <c r="C293" s="4">
        <v>64264.111323945806</v>
      </c>
      <c r="L293" s="4">
        <v>267</v>
      </c>
      <c r="M293" s="4">
        <v>730728.81255182531</v>
      </c>
      <c r="N293" s="4">
        <v>14851.697448174702</v>
      </c>
      <c r="W293" s="4">
        <v>267</v>
      </c>
      <c r="X293" s="4">
        <v>674251.452284756</v>
      </c>
      <c r="Y293" s="4">
        <v>71329.057715244009</v>
      </c>
      <c r="AH293" s="4">
        <v>267</v>
      </c>
      <c r="AI293" s="4">
        <v>680648.81697696471</v>
      </c>
      <c r="AJ293" s="4">
        <v>64931.693023035303</v>
      </c>
    </row>
    <row r="294" spans="1:36">
      <c r="A294" s="4">
        <v>268</v>
      </c>
      <c r="B294" s="4">
        <v>704997.06336132041</v>
      </c>
      <c r="C294" s="4">
        <v>57331.246638679644</v>
      </c>
      <c r="L294" s="4">
        <v>268</v>
      </c>
      <c r="M294" s="4">
        <v>704719.52789987042</v>
      </c>
      <c r="N294" s="4">
        <v>57608.78210012964</v>
      </c>
      <c r="W294" s="4">
        <v>268</v>
      </c>
      <c r="X294" s="4">
        <v>694228.63776391488</v>
      </c>
      <c r="Y294" s="4">
        <v>68099.672236085171</v>
      </c>
      <c r="AH294" s="4">
        <v>268</v>
      </c>
      <c r="AI294" s="4">
        <v>690850.84390555974</v>
      </c>
      <c r="AJ294" s="4">
        <v>71477.466094440315</v>
      </c>
    </row>
    <row r="295" spans="1:36">
      <c r="A295" s="4">
        <v>269</v>
      </c>
      <c r="B295" s="4">
        <v>664600.3610293977</v>
      </c>
      <c r="C295" s="4">
        <v>-3966.3710293977056</v>
      </c>
      <c r="L295" s="4">
        <v>269</v>
      </c>
      <c r="M295" s="4">
        <v>733690.08913085447</v>
      </c>
      <c r="N295" s="4">
        <v>-73056.099130854476</v>
      </c>
      <c r="W295" s="4">
        <v>269</v>
      </c>
      <c r="X295" s="4">
        <v>683130.20138660434</v>
      </c>
      <c r="Y295" s="4">
        <v>-22496.211386604351</v>
      </c>
      <c r="AH295" s="4">
        <v>269</v>
      </c>
      <c r="AI295" s="4">
        <v>695286.50778755767</v>
      </c>
      <c r="AJ295" s="4">
        <v>-34652.517787557677</v>
      </c>
    </row>
    <row r="296" spans="1:36">
      <c r="A296" s="4">
        <v>270</v>
      </c>
      <c r="B296" s="4">
        <v>611706.07552148798</v>
      </c>
      <c r="C296" s="4">
        <v>127668.48447851208</v>
      </c>
      <c r="L296" s="4">
        <v>270</v>
      </c>
      <c r="M296" s="4">
        <v>732477.03607438458</v>
      </c>
      <c r="N296" s="4">
        <v>6897.5239256154746</v>
      </c>
      <c r="W296" s="4">
        <v>270</v>
      </c>
      <c r="X296" s="4">
        <v>678552.09638096381</v>
      </c>
      <c r="Y296" s="4">
        <v>60822.463619036251</v>
      </c>
      <c r="AH296" s="4">
        <v>270</v>
      </c>
      <c r="AI296" s="4">
        <v>682201.29933566402</v>
      </c>
      <c r="AJ296" s="4">
        <v>57173.260664336034</v>
      </c>
    </row>
    <row r="297" spans="1:36">
      <c r="A297" s="4">
        <v>271</v>
      </c>
      <c r="B297" s="4">
        <v>692801.00675596669</v>
      </c>
      <c r="C297" s="4">
        <v>106955.45324403327</v>
      </c>
      <c r="L297" s="4">
        <v>271</v>
      </c>
      <c r="M297" s="4">
        <v>810041.07562630507</v>
      </c>
      <c r="N297" s="4">
        <v>-10284.615626305109</v>
      </c>
      <c r="W297" s="4">
        <v>271</v>
      </c>
      <c r="X297" s="4">
        <v>670366.99955269741</v>
      </c>
      <c r="Y297" s="4">
        <v>129389.46044730255</v>
      </c>
      <c r="AH297" s="4">
        <v>271</v>
      </c>
      <c r="AI297" s="4">
        <v>679096.33461826551</v>
      </c>
      <c r="AJ297" s="4">
        <v>120660.12538173446</v>
      </c>
    </row>
    <row r="298" spans="1:36">
      <c r="A298" s="4">
        <v>272</v>
      </c>
      <c r="B298" s="4">
        <v>623269.58436728758</v>
      </c>
      <c r="C298" s="4">
        <v>-29926.584367287578</v>
      </c>
      <c r="L298" s="4">
        <v>272</v>
      </c>
      <c r="M298" s="4">
        <v>712069.20230083424</v>
      </c>
      <c r="N298" s="4">
        <v>-118726.20230083424</v>
      </c>
      <c r="W298" s="4">
        <v>272</v>
      </c>
      <c r="X298" s="4">
        <v>682436.54911302251</v>
      </c>
      <c r="Y298" s="4">
        <v>-89093.549113022513</v>
      </c>
      <c r="AH298" s="4">
        <v>272</v>
      </c>
      <c r="AI298" s="4">
        <v>675991.36990086699</v>
      </c>
      <c r="AJ298" s="4">
        <v>-82648.369900866994</v>
      </c>
    </row>
    <row r="299" spans="1:36">
      <c r="A299" s="4">
        <v>273</v>
      </c>
      <c r="B299" s="4">
        <v>668389.40793101187</v>
      </c>
      <c r="C299" s="4">
        <v>-23349.437931011897</v>
      </c>
      <c r="L299" s="4">
        <v>273</v>
      </c>
      <c r="M299" s="4">
        <v>649382.90170620498</v>
      </c>
      <c r="N299" s="4">
        <v>-4342.9317062050104</v>
      </c>
      <c r="W299" s="4">
        <v>273</v>
      </c>
      <c r="X299" s="4">
        <v>690621.64594128891</v>
      </c>
      <c r="Y299" s="4">
        <v>-45581.675941288937</v>
      </c>
      <c r="AH299" s="4">
        <v>273</v>
      </c>
      <c r="AI299" s="4">
        <v>674660.6707362677</v>
      </c>
      <c r="AJ299" s="4">
        <v>-29620.700736267725</v>
      </c>
    </row>
    <row r="300" spans="1:36">
      <c r="A300" s="4">
        <v>274</v>
      </c>
      <c r="B300" s="4">
        <v>598178.16121050634</v>
      </c>
      <c r="C300" s="4">
        <v>-36580.831210506381</v>
      </c>
      <c r="L300" s="4">
        <v>274</v>
      </c>
      <c r="M300" s="4">
        <v>565075.71428155561</v>
      </c>
      <c r="N300" s="4">
        <v>-3478.3842815556563</v>
      </c>
      <c r="W300" s="4">
        <v>274</v>
      </c>
      <c r="X300" s="4">
        <v>676609.87001493445</v>
      </c>
      <c r="Y300" s="4">
        <v>-115012.54001493449</v>
      </c>
      <c r="AH300" s="4">
        <v>274</v>
      </c>
      <c r="AI300" s="4">
        <v>680205.2505887649</v>
      </c>
      <c r="AJ300" s="4">
        <v>-118607.92058876494</v>
      </c>
    </row>
    <row r="301" spans="1:36">
      <c r="A301" s="4">
        <v>275</v>
      </c>
      <c r="B301" s="4">
        <v>662248.86265691975</v>
      </c>
      <c r="C301" s="4">
        <v>-26411.122656919761</v>
      </c>
      <c r="L301" s="4">
        <v>275</v>
      </c>
      <c r="M301" s="4">
        <v>652165.78812987101</v>
      </c>
      <c r="N301" s="4">
        <v>-16328.048129871022</v>
      </c>
      <c r="W301" s="4">
        <v>275</v>
      </c>
      <c r="X301" s="4">
        <v>678274.63547153107</v>
      </c>
      <c r="Y301" s="4">
        <v>-42436.895471531083</v>
      </c>
      <c r="AH301" s="4">
        <v>275</v>
      </c>
      <c r="AI301" s="4">
        <v>683975.56488846312</v>
      </c>
      <c r="AJ301" s="4">
        <v>-48137.824888463132</v>
      </c>
    </row>
    <row r="302" spans="1:36">
      <c r="A302" s="4">
        <v>276</v>
      </c>
      <c r="B302" s="4">
        <v>642334.92692383472</v>
      </c>
      <c r="C302" s="4">
        <v>44402.943076165277</v>
      </c>
      <c r="L302" s="4">
        <v>276</v>
      </c>
      <c r="M302" s="4">
        <v>656661.2200450236</v>
      </c>
      <c r="N302" s="4">
        <v>30076.649954976398</v>
      </c>
      <c r="W302" s="4">
        <v>276</v>
      </c>
      <c r="X302" s="4">
        <v>663569.20727159467</v>
      </c>
      <c r="Y302" s="4">
        <v>23168.662728405325</v>
      </c>
      <c r="AH302" s="4">
        <v>276</v>
      </c>
      <c r="AI302" s="4">
        <v>656918.01520827634</v>
      </c>
      <c r="AJ302" s="4">
        <v>29819.854791723657</v>
      </c>
    </row>
    <row r="303" spans="1:36">
      <c r="A303" s="4">
        <v>277</v>
      </c>
      <c r="B303" s="4">
        <v>692351.26174253295</v>
      </c>
      <c r="C303" s="4">
        <v>-19274.921742532984</v>
      </c>
      <c r="L303" s="4">
        <v>277</v>
      </c>
      <c r="M303" s="4">
        <v>751957.24104004633</v>
      </c>
      <c r="N303" s="4">
        <v>-78880.901040046359</v>
      </c>
      <c r="W303" s="4">
        <v>277</v>
      </c>
      <c r="X303" s="4">
        <v>679800.67047341121</v>
      </c>
      <c r="Y303" s="4">
        <v>-6724.3304734112462</v>
      </c>
      <c r="AH303" s="4">
        <v>277</v>
      </c>
      <c r="AI303" s="4">
        <v>678652.7682300657</v>
      </c>
      <c r="AJ303" s="4">
        <v>-5576.428230065736</v>
      </c>
    </row>
    <row r="304" spans="1:36">
      <c r="A304" s="4">
        <v>278</v>
      </c>
      <c r="B304" s="4">
        <v>639214.56667508371</v>
      </c>
      <c r="C304" s="4">
        <v>99333.85332491633</v>
      </c>
      <c r="L304" s="4">
        <v>278</v>
      </c>
      <c r="M304" s="4">
        <v>731870.50954614975</v>
      </c>
      <c r="N304" s="4">
        <v>6677.910453850287</v>
      </c>
      <c r="W304" s="4">
        <v>278</v>
      </c>
      <c r="X304" s="4">
        <v>697835.62958654074</v>
      </c>
      <c r="Y304" s="4">
        <v>40712.790413459297</v>
      </c>
      <c r="AH304" s="4">
        <v>278</v>
      </c>
      <c r="AI304" s="4">
        <v>681535.94975336432</v>
      </c>
      <c r="AJ304" s="4">
        <v>57012.470246635727</v>
      </c>
    </row>
    <row r="305" spans="1:36">
      <c r="A305" s="4">
        <v>279</v>
      </c>
      <c r="B305" s="4">
        <v>664294.74567413528</v>
      </c>
      <c r="C305" s="4">
        <v>92325.024325864739</v>
      </c>
      <c r="L305" s="4">
        <v>279</v>
      </c>
      <c r="M305" s="4">
        <v>779072.54465525306</v>
      </c>
      <c r="N305" s="4">
        <v>-22452.774655253044</v>
      </c>
      <c r="W305" s="4">
        <v>279</v>
      </c>
      <c r="X305" s="4">
        <v>668286.04273195169</v>
      </c>
      <c r="Y305" s="4">
        <v>88333.727268048329</v>
      </c>
      <c r="AH305" s="4">
        <v>279</v>
      </c>
      <c r="AI305" s="4">
        <v>676656.7194831667</v>
      </c>
      <c r="AJ305" s="4">
        <v>79963.050516833318</v>
      </c>
    </row>
    <row r="306" spans="1:36">
      <c r="A306" s="4">
        <v>280</v>
      </c>
      <c r="B306" s="4">
        <v>710452.54554828024</v>
      </c>
      <c r="C306" s="4">
        <v>50669.874451719807</v>
      </c>
      <c r="L306" s="4">
        <v>280</v>
      </c>
      <c r="M306" s="4">
        <v>771401.76797463535</v>
      </c>
      <c r="N306" s="4">
        <v>-10279.347974635311</v>
      </c>
      <c r="W306" s="4">
        <v>280</v>
      </c>
      <c r="X306" s="4">
        <v>697280.70776767517</v>
      </c>
      <c r="Y306" s="4">
        <v>63841.712232324877</v>
      </c>
      <c r="AH306" s="4">
        <v>280</v>
      </c>
      <c r="AI306" s="4">
        <v>677765.63545366609</v>
      </c>
      <c r="AJ306" s="4">
        <v>83356.784546333947</v>
      </c>
    </row>
    <row r="307" spans="1:36">
      <c r="A307" s="4">
        <v>281</v>
      </c>
      <c r="B307" s="4">
        <v>658610.86653329153</v>
      </c>
      <c r="C307" s="4">
        <v>-133711.29653329158</v>
      </c>
      <c r="L307" s="4">
        <v>281</v>
      </c>
      <c r="M307" s="4">
        <v>589907.62390811334</v>
      </c>
      <c r="N307" s="4">
        <v>-65008.05390811339</v>
      </c>
      <c r="W307" s="4">
        <v>281</v>
      </c>
      <c r="X307" s="4">
        <v>688263.22821111046</v>
      </c>
      <c r="Y307" s="4">
        <v>-163363.65821111051</v>
      </c>
      <c r="AH307" s="4">
        <v>281</v>
      </c>
      <c r="AI307" s="4">
        <v>668894.30768967047</v>
      </c>
      <c r="AJ307" s="4">
        <v>-143994.73768967052</v>
      </c>
    </row>
    <row r="308" spans="1:36">
      <c r="A308" s="4">
        <v>282</v>
      </c>
      <c r="B308" s="4">
        <v>634825.36285464815</v>
      </c>
      <c r="C308" s="4">
        <v>-79267.59285464813</v>
      </c>
      <c r="L308" s="4">
        <v>282</v>
      </c>
      <c r="M308" s="4">
        <v>601788.40825530258</v>
      </c>
      <c r="N308" s="4">
        <v>-46230.638255302561</v>
      </c>
      <c r="W308" s="4">
        <v>282</v>
      </c>
      <c r="X308" s="4">
        <v>690760.37639600527</v>
      </c>
      <c r="Y308" s="4">
        <v>-135202.60639600526</v>
      </c>
      <c r="AH308" s="4">
        <v>282</v>
      </c>
      <c r="AI308" s="4">
        <v>679761.68420056521</v>
      </c>
      <c r="AJ308" s="4">
        <v>-124203.9142005652</v>
      </c>
    </row>
    <row r="309" spans="1:36">
      <c r="A309" s="4">
        <v>283</v>
      </c>
      <c r="B309" s="4">
        <v>701551.19752374734</v>
      </c>
      <c r="C309" s="4">
        <v>12532.482476252713</v>
      </c>
      <c r="L309" s="4">
        <v>283</v>
      </c>
      <c r="M309" s="4">
        <v>651380.87144627282</v>
      </c>
      <c r="N309" s="4">
        <v>62702.808553727227</v>
      </c>
      <c r="W309" s="4">
        <v>283</v>
      </c>
      <c r="X309" s="4">
        <v>688124.49775639409</v>
      </c>
      <c r="Y309" s="4">
        <v>25959.182243605959</v>
      </c>
      <c r="AH309" s="4">
        <v>283</v>
      </c>
      <c r="AI309" s="4">
        <v>697282.55653445667</v>
      </c>
      <c r="AJ309" s="4">
        <v>16801.12346554338</v>
      </c>
    </row>
    <row r="310" spans="1:36">
      <c r="A310" s="4">
        <v>284</v>
      </c>
      <c r="B310" s="4">
        <v>600385.76417809899</v>
      </c>
      <c r="C310" s="4">
        <v>-102945.94417809899</v>
      </c>
      <c r="L310" s="4">
        <v>284</v>
      </c>
      <c r="M310" s="4">
        <v>554407.98299083614</v>
      </c>
      <c r="N310" s="4">
        <v>-56968.162990836136</v>
      </c>
      <c r="W310" s="4">
        <v>284</v>
      </c>
      <c r="X310" s="4">
        <v>680910.51411114226</v>
      </c>
      <c r="Y310" s="4">
        <v>-183470.69411114225</v>
      </c>
      <c r="AH310" s="4">
        <v>284</v>
      </c>
      <c r="AI310" s="4">
        <v>664236.86061357276</v>
      </c>
      <c r="AJ310" s="4">
        <v>-166797.04061357275</v>
      </c>
    </row>
    <row r="311" spans="1:36">
      <c r="A311" s="4">
        <v>285</v>
      </c>
      <c r="B311" s="4">
        <v>688941.70516429527</v>
      </c>
      <c r="C311" s="4">
        <v>-52166.045164295239</v>
      </c>
      <c r="L311" s="4">
        <v>285</v>
      </c>
      <c r="M311" s="4">
        <v>644851.79175997968</v>
      </c>
      <c r="N311" s="4">
        <v>-8076.1317599796457</v>
      </c>
      <c r="W311" s="4">
        <v>285</v>
      </c>
      <c r="X311" s="4">
        <v>696587.05549409334</v>
      </c>
      <c r="Y311" s="4">
        <v>-59811.395494093304</v>
      </c>
      <c r="AH311" s="4">
        <v>285</v>
      </c>
      <c r="AI311" s="4">
        <v>676213.1530949669</v>
      </c>
      <c r="AJ311" s="4">
        <v>-39437.493094966863</v>
      </c>
    </row>
    <row r="312" spans="1:36">
      <c r="A312" s="4">
        <v>286</v>
      </c>
      <c r="B312" s="4">
        <v>719514.05893320113</v>
      </c>
      <c r="C312" s="4">
        <v>-86504.528933201102</v>
      </c>
      <c r="L312" s="4">
        <v>286</v>
      </c>
      <c r="M312" s="4">
        <v>606497.90835689125</v>
      </c>
      <c r="N312" s="4">
        <v>26511.621643108781</v>
      </c>
      <c r="W312" s="4">
        <v>286</v>
      </c>
      <c r="X312" s="4">
        <v>678413.36592624744</v>
      </c>
      <c r="Y312" s="4">
        <v>-45403.835926247411</v>
      </c>
      <c r="AH312" s="4">
        <v>286</v>
      </c>
      <c r="AI312" s="4">
        <v>685306.26405306254</v>
      </c>
      <c r="AJ312" s="4">
        <v>-52296.734053062508</v>
      </c>
    </row>
    <row r="313" spans="1:36">
      <c r="A313" s="4">
        <v>287</v>
      </c>
      <c r="B313" s="4">
        <v>678696.12660148111</v>
      </c>
      <c r="C313" s="4">
        <v>-68747.126601481112</v>
      </c>
      <c r="L313" s="4">
        <v>287</v>
      </c>
      <c r="M313" s="4">
        <v>594902.54825828306</v>
      </c>
      <c r="N313" s="4">
        <v>15046.451741716941</v>
      </c>
      <c r="W313" s="4">
        <v>287</v>
      </c>
      <c r="X313" s="4">
        <v>672447.95637344313</v>
      </c>
      <c r="Y313" s="4">
        <v>-62498.956373443129</v>
      </c>
      <c r="AH313" s="4">
        <v>287</v>
      </c>
      <c r="AI313" s="4">
        <v>688854.79515866074</v>
      </c>
      <c r="AJ313" s="4">
        <v>-78905.795158660738</v>
      </c>
    </row>
    <row r="314" spans="1:36">
      <c r="A314" s="4">
        <v>288</v>
      </c>
      <c r="B314" s="4">
        <v>647938.07386400958</v>
      </c>
      <c r="C314" s="4">
        <v>-99834.373864009627</v>
      </c>
      <c r="L314" s="4">
        <v>288</v>
      </c>
      <c r="M314" s="4">
        <v>592476.4421453434</v>
      </c>
      <c r="N314" s="4">
        <v>-44372.742145343451</v>
      </c>
      <c r="W314" s="4">
        <v>288</v>
      </c>
      <c r="X314" s="4">
        <v>673696.53046589054</v>
      </c>
      <c r="Y314" s="4">
        <v>-125592.83046589058</v>
      </c>
      <c r="AH314" s="4">
        <v>288</v>
      </c>
      <c r="AI314" s="4">
        <v>667563.60852507118</v>
      </c>
      <c r="AJ314" s="4">
        <v>-119459.90852507122</v>
      </c>
    </row>
    <row r="315" spans="1:36">
      <c r="A315" s="4">
        <v>289</v>
      </c>
      <c r="B315" s="4">
        <v>709874.04641054035</v>
      </c>
      <c r="C315" s="4">
        <v>19550.37358945969</v>
      </c>
      <c r="L315" s="4">
        <v>289</v>
      </c>
      <c r="M315" s="4">
        <v>749102.99855423509</v>
      </c>
      <c r="N315" s="4">
        <v>-19678.57855423505</v>
      </c>
      <c r="W315" s="4">
        <v>289</v>
      </c>
      <c r="X315" s="4">
        <v>659962.21544896881</v>
      </c>
      <c r="Y315" s="4">
        <v>69462.204551031231</v>
      </c>
      <c r="AH315" s="4">
        <v>289</v>
      </c>
      <c r="AI315" s="4">
        <v>646494.2050855814</v>
      </c>
      <c r="AJ315" s="4">
        <v>82930.214914418641</v>
      </c>
    </row>
    <row r="316" spans="1:36">
      <c r="A316" s="4">
        <v>290</v>
      </c>
      <c r="B316" s="4">
        <v>707524.80538790964</v>
      </c>
      <c r="C316" s="4">
        <v>-11263.31538790965</v>
      </c>
      <c r="L316" s="4">
        <v>290</v>
      </c>
      <c r="M316" s="4">
        <v>724485.15711411322</v>
      </c>
      <c r="N316" s="4">
        <v>-28223.667114113225</v>
      </c>
      <c r="W316" s="4">
        <v>290</v>
      </c>
      <c r="X316" s="4">
        <v>658436.18044708867</v>
      </c>
      <c r="Y316" s="4">
        <v>37825.30955291132</v>
      </c>
      <c r="AH316" s="4">
        <v>290</v>
      </c>
      <c r="AI316" s="4">
        <v>682201.29933566402</v>
      </c>
      <c r="AJ316" s="4">
        <v>14060.190664335969</v>
      </c>
    </row>
    <row r="317" spans="1:36">
      <c r="A317" s="4">
        <v>291</v>
      </c>
      <c r="B317" s="4">
        <v>681603.69968349941</v>
      </c>
      <c r="C317" s="4">
        <v>131713.01031650056</v>
      </c>
      <c r="L317" s="4">
        <v>291</v>
      </c>
      <c r="M317" s="4">
        <v>742538.24083686923</v>
      </c>
      <c r="N317" s="4">
        <v>70778.469163130736</v>
      </c>
      <c r="W317" s="4">
        <v>291</v>
      </c>
      <c r="X317" s="4">
        <v>693396.25503561657</v>
      </c>
      <c r="Y317" s="4">
        <v>119920.45496438339</v>
      </c>
      <c r="AH317" s="4">
        <v>291</v>
      </c>
      <c r="AI317" s="4">
        <v>669337.87407787028</v>
      </c>
      <c r="AJ317" s="4">
        <v>143978.83592212969</v>
      </c>
    </row>
    <row r="318" spans="1:36">
      <c r="A318" s="4">
        <v>292</v>
      </c>
      <c r="B318" s="4">
        <v>675946.71707904304</v>
      </c>
      <c r="C318" s="4">
        <v>26122.202920957003</v>
      </c>
      <c r="L318" s="4">
        <v>292</v>
      </c>
      <c r="M318" s="4">
        <v>699118.07702146587</v>
      </c>
      <c r="N318" s="4">
        <v>2950.8429785341723</v>
      </c>
      <c r="W318" s="4">
        <v>292</v>
      </c>
      <c r="X318" s="4">
        <v>697835.62958654074</v>
      </c>
      <c r="Y318" s="4">
        <v>4233.2904134592973</v>
      </c>
      <c r="AH318" s="4">
        <v>292</v>
      </c>
      <c r="AI318" s="4">
        <v>699943.95486365538</v>
      </c>
      <c r="AJ318" s="4">
        <v>2124.965136344661</v>
      </c>
    </row>
    <row r="319" spans="1:36">
      <c r="A319" s="4">
        <v>293</v>
      </c>
      <c r="B319" s="4">
        <v>671507.42564690253</v>
      </c>
      <c r="C319" s="4">
        <v>-125283.72564690257</v>
      </c>
      <c r="L319" s="4">
        <v>293</v>
      </c>
      <c r="M319" s="4">
        <v>583200.15406645695</v>
      </c>
      <c r="N319" s="4">
        <v>-36976.454066456994</v>
      </c>
      <c r="W319" s="4">
        <v>293</v>
      </c>
      <c r="X319" s="4">
        <v>684517.50593376823</v>
      </c>
      <c r="Y319" s="4">
        <v>-138293.80593376828</v>
      </c>
      <c r="AH319" s="4">
        <v>293</v>
      </c>
      <c r="AI319" s="4">
        <v>677100.2858713665</v>
      </c>
      <c r="AJ319" s="4">
        <v>-130876.58587136655</v>
      </c>
    </row>
    <row r="320" spans="1:36">
      <c r="A320" s="4">
        <v>294</v>
      </c>
      <c r="B320" s="4">
        <v>646179.44926273264</v>
      </c>
      <c r="C320" s="4">
        <v>-113058.18926273263</v>
      </c>
      <c r="L320" s="4">
        <v>294</v>
      </c>
      <c r="M320" s="4">
        <v>530539.38020323962</v>
      </c>
      <c r="N320" s="4">
        <v>2581.8797967603896</v>
      </c>
      <c r="W320" s="4">
        <v>294</v>
      </c>
      <c r="X320" s="4">
        <v>681326.70547529147</v>
      </c>
      <c r="Y320" s="4">
        <v>-148205.44547529146</v>
      </c>
      <c r="AH320" s="4">
        <v>294</v>
      </c>
      <c r="AI320" s="4">
        <v>681535.94975336432</v>
      </c>
      <c r="AJ320" s="4">
        <v>-148414.68975336431</v>
      </c>
    </row>
    <row r="321" spans="1:36">
      <c r="A321" s="4">
        <v>295</v>
      </c>
      <c r="B321" s="4">
        <v>688180.27550591552</v>
      </c>
      <c r="C321" s="4">
        <v>-189209.95550591551</v>
      </c>
      <c r="L321" s="4">
        <v>295</v>
      </c>
      <c r="M321" s="4">
        <v>490330.23918437387</v>
      </c>
      <c r="N321" s="4">
        <v>8640.0808156261337</v>
      </c>
      <c r="W321" s="4">
        <v>295</v>
      </c>
      <c r="X321" s="4">
        <v>668147.31227723532</v>
      </c>
      <c r="Y321" s="4">
        <v>-169176.99227723532</v>
      </c>
      <c r="AH321" s="4">
        <v>295</v>
      </c>
      <c r="AI321" s="4">
        <v>672886.40518346848</v>
      </c>
      <c r="AJ321" s="4">
        <v>-173916.08518346847</v>
      </c>
    </row>
    <row r="322" spans="1:36">
      <c r="A322" s="4">
        <v>296</v>
      </c>
      <c r="B322" s="4">
        <v>619124.04655583482</v>
      </c>
      <c r="C322" s="4">
        <v>-131385.78655583481</v>
      </c>
      <c r="L322" s="4">
        <v>296</v>
      </c>
      <c r="M322" s="4">
        <v>507883.83047211292</v>
      </c>
      <c r="N322" s="4">
        <v>-20145.570472112915</v>
      </c>
      <c r="W322" s="4">
        <v>296</v>
      </c>
      <c r="X322" s="4">
        <v>674112.72183003963</v>
      </c>
      <c r="Y322" s="4">
        <v>-186374.46183003963</v>
      </c>
      <c r="AH322" s="4">
        <v>296</v>
      </c>
      <c r="AI322" s="4">
        <v>664458.64380767266</v>
      </c>
      <c r="AJ322" s="4">
        <v>-176720.38380767265</v>
      </c>
    </row>
    <row r="323" spans="1:36">
      <c r="A323" s="4">
        <v>297</v>
      </c>
      <c r="B323" s="4">
        <v>679180.79665028735</v>
      </c>
      <c r="C323" s="4">
        <v>-10721.426650287351</v>
      </c>
      <c r="L323" s="4">
        <v>297</v>
      </c>
      <c r="M323" s="4">
        <v>656768.25413824152</v>
      </c>
      <c r="N323" s="4">
        <v>11691.115861758473</v>
      </c>
      <c r="W323" s="4">
        <v>297</v>
      </c>
      <c r="X323" s="4">
        <v>692841.33321675099</v>
      </c>
      <c r="Y323" s="4">
        <v>-24381.963216750999</v>
      </c>
      <c r="AH323" s="4">
        <v>297</v>
      </c>
      <c r="AI323" s="4">
        <v>691294.41029375955</v>
      </c>
      <c r="AJ323" s="4">
        <v>-22835.04029375955</v>
      </c>
    </row>
    <row r="324" spans="1:36">
      <c r="A324" s="4">
        <v>298</v>
      </c>
      <c r="B324" s="4">
        <v>678921.09493908775</v>
      </c>
      <c r="C324" s="4">
        <v>84241.355060912203</v>
      </c>
      <c r="L324" s="4">
        <v>298</v>
      </c>
      <c r="M324" s="4">
        <v>657018.00035575009</v>
      </c>
      <c r="N324" s="4">
        <v>106144.44964424986</v>
      </c>
      <c r="W324" s="4">
        <v>298</v>
      </c>
      <c r="X324" s="4">
        <v>683685.12320546992</v>
      </c>
      <c r="Y324" s="4">
        <v>79477.326794530032</v>
      </c>
      <c r="AH324" s="4">
        <v>298</v>
      </c>
      <c r="AI324" s="4">
        <v>698169.68931085616</v>
      </c>
      <c r="AJ324" s="4">
        <v>64992.76068914379</v>
      </c>
    </row>
    <row r="325" spans="1:36">
      <c r="A325" s="4">
        <v>299</v>
      </c>
      <c r="B325" s="4">
        <v>659109.84732829907</v>
      </c>
      <c r="C325" s="4">
        <v>-60092.517328299116</v>
      </c>
      <c r="L325" s="4">
        <v>299</v>
      </c>
      <c r="M325" s="4">
        <v>621161.5791277464</v>
      </c>
      <c r="N325" s="4">
        <v>-22144.249127746443</v>
      </c>
      <c r="W325" s="4">
        <v>299</v>
      </c>
      <c r="X325" s="4">
        <v>682020.3577488733</v>
      </c>
      <c r="Y325" s="4">
        <v>-83003.027748873341</v>
      </c>
      <c r="AH325" s="4">
        <v>299</v>
      </c>
      <c r="AI325" s="4">
        <v>688189.44557636115</v>
      </c>
      <c r="AJ325" s="4">
        <v>-89172.11557636119</v>
      </c>
    </row>
    <row r="326" spans="1:36">
      <c r="A326" s="4">
        <v>300</v>
      </c>
      <c r="B326" s="4">
        <v>612660.14656400145</v>
      </c>
      <c r="C326" s="4">
        <v>-211077.56656400143</v>
      </c>
      <c r="L326" s="4">
        <v>300</v>
      </c>
      <c r="M326" s="4">
        <v>498571.86436215381</v>
      </c>
      <c r="N326" s="4">
        <v>-96989.28436215379</v>
      </c>
      <c r="W326" s="4">
        <v>300</v>
      </c>
      <c r="X326" s="4">
        <v>681604.1663847242</v>
      </c>
      <c r="Y326" s="4">
        <v>-280021.58638472419</v>
      </c>
      <c r="AH326" s="4">
        <v>300</v>
      </c>
      <c r="AI326" s="4">
        <v>682866.64891796373</v>
      </c>
      <c r="AJ326" s="4">
        <v>-281284.06891796371</v>
      </c>
    </row>
    <row r="327" spans="1:36">
      <c r="A327" s="4">
        <v>301</v>
      </c>
      <c r="B327" s="4">
        <v>647339.62060545024</v>
      </c>
      <c r="C327" s="4">
        <v>56473.369394549751</v>
      </c>
      <c r="L327" s="4">
        <v>301</v>
      </c>
      <c r="M327" s="4">
        <v>740825.69534538244</v>
      </c>
      <c r="N327" s="4">
        <v>-37012.705345382448</v>
      </c>
      <c r="W327" s="4">
        <v>301</v>
      </c>
      <c r="X327" s="4">
        <v>678274.63547153107</v>
      </c>
      <c r="Y327" s="4">
        <v>25538.354528468917</v>
      </c>
      <c r="AH327" s="4">
        <v>301</v>
      </c>
      <c r="AI327" s="4">
        <v>680427.03378286492</v>
      </c>
      <c r="AJ327" s="4">
        <v>23385.95621713507</v>
      </c>
    </row>
    <row r="328" spans="1:36">
      <c r="A328" s="4">
        <v>302</v>
      </c>
      <c r="B328" s="4">
        <v>697042.4393444208</v>
      </c>
      <c r="C328" s="4">
        <v>27304.290655579185</v>
      </c>
      <c r="L328" s="4">
        <v>302</v>
      </c>
      <c r="M328" s="4">
        <v>731442.37317327806</v>
      </c>
      <c r="N328" s="4">
        <v>-7095.6431732780766</v>
      </c>
      <c r="W328" s="4">
        <v>302</v>
      </c>
      <c r="X328" s="4">
        <v>687569.57593752863</v>
      </c>
      <c r="Y328" s="4">
        <v>36777.154062471353</v>
      </c>
      <c r="AH328" s="4">
        <v>302</v>
      </c>
      <c r="AI328" s="4">
        <v>669559.65727197018</v>
      </c>
      <c r="AJ328" s="4">
        <v>54787.072728029802</v>
      </c>
    </row>
    <row r="329" spans="1:36">
      <c r="A329" s="4">
        <v>303</v>
      </c>
      <c r="B329" s="4">
        <v>673312.09166676202</v>
      </c>
      <c r="C329" s="4">
        <v>57577.918333237991</v>
      </c>
      <c r="L329" s="4">
        <v>303</v>
      </c>
      <c r="M329" s="4">
        <v>741396.54384254478</v>
      </c>
      <c r="N329" s="4">
        <v>-10506.53384254477</v>
      </c>
      <c r="W329" s="4">
        <v>303</v>
      </c>
      <c r="X329" s="4">
        <v>678690.82683568017</v>
      </c>
      <c r="Y329" s="4">
        <v>52199.183164319838</v>
      </c>
      <c r="AH329" s="4">
        <v>303</v>
      </c>
      <c r="AI329" s="4">
        <v>678430.9850359658</v>
      </c>
      <c r="AJ329" s="4">
        <v>52459.024964034208</v>
      </c>
    </row>
    <row r="330" spans="1:36">
      <c r="A330" s="4">
        <v>304</v>
      </c>
      <c r="B330" s="4">
        <v>628917.89960016066</v>
      </c>
      <c r="C330" s="4">
        <v>151663.0503998393</v>
      </c>
      <c r="L330" s="4">
        <v>304</v>
      </c>
      <c r="M330" s="4">
        <v>738363.9112013703</v>
      </c>
      <c r="N330" s="4">
        <v>42217.038798629656</v>
      </c>
      <c r="W330" s="4">
        <v>304</v>
      </c>
      <c r="X330" s="4">
        <v>670366.99955269741</v>
      </c>
      <c r="Y330" s="4">
        <v>110213.95044730254</v>
      </c>
      <c r="AH330" s="4">
        <v>304</v>
      </c>
      <c r="AI330" s="4">
        <v>691072.62709965964</v>
      </c>
      <c r="AJ330" s="4">
        <v>89508.32290034031</v>
      </c>
    </row>
    <row r="331" spans="1:36">
      <c r="A331" s="4">
        <v>305</v>
      </c>
      <c r="B331" s="4">
        <v>677793.29314134945</v>
      </c>
      <c r="C331" s="4">
        <v>50164.18685865053</v>
      </c>
      <c r="L331" s="4">
        <v>305</v>
      </c>
      <c r="M331" s="4">
        <v>679530.8379625862</v>
      </c>
      <c r="N331" s="4">
        <v>48426.642037413782</v>
      </c>
      <c r="W331" s="4">
        <v>305</v>
      </c>
      <c r="X331" s="4">
        <v>672447.95637344313</v>
      </c>
      <c r="Y331" s="4">
        <v>55509.523626556853</v>
      </c>
      <c r="AH331" s="4">
        <v>305</v>
      </c>
      <c r="AI331" s="4">
        <v>694399.37501115806</v>
      </c>
      <c r="AJ331" s="4">
        <v>33558.104988841922</v>
      </c>
    </row>
    <row r="332" spans="1:36">
      <c r="A332" s="4">
        <v>306</v>
      </c>
      <c r="B332" s="4">
        <v>659049.23961447587</v>
      </c>
      <c r="C332" s="4">
        <v>-120673.23961447587</v>
      </c>
      <c r="L332" s="4">
        <v>306</v>
      </c>
      <c r="M332" s="4">
        <v>653485.87527955859</v>
      </c>
      <c r="N332" s="4">
        <v>-115109.87527955859</v>
      </c>
      <c r="W332" s="4">
        <v>306</v>
      </c>
      <c r="X332" s="4">
        <v>691315.29821487085</v>
      </c>
      <c r="Y332" s="4">
        <v>-152939.29821487085</v>
      </c>
      <c r="AH332" s="4">
        <v>306</v>
      </c>
      <c r="AI332" s="4">
        <v>677543.85225956631</v>
      </c>
      <c r="AJ332" s="4">
        <v>-139167.85225956631</v>
      </c>
    </row>
    <row r="333" spans="1:36">
      <c r="A333" s="4">
        <v>307</v>
      </c>
      <c r="B333" s="4">
        <v>608452.7019977757</v>
      </c>
      <c r="C333" s="4">
        <v>56889.78800222429</v>
      </c>
      <c r="L333" s="4">
        <v>307</v>
      </c>
      <c r="M333" s="4">
        <v>671217.85672266094</v>
      </c>
      <c r="N333" s="4">
        <v>-5875.3667226609541</v>
      </c>
      <c r="W333" s="4">
        <v>307</v>
      </c>
      <c r="X333" s="4">
        <v>677580.98319794913</v>
      </c>
      <c r="Y333" s="4">
        <v>-12238.493197949138</v>
      </c>
      <c r="AH333" s="4">
        <v>307</v>
      </c>
      <c r="AI333" s="4">
        <v>675326.02031856729</v>
      </c>
      <c r="AJ333" s="4">
        <v>-9983.5303185672965</v>
      </c>
    </row>
    <row r="334" spans="1:36">
      <c r="A334" s="4">
        <v>308</v>
      </c>
      <c r="B334" s="4">
        <v>690008.60110766452</v>
      </c>
      <c r="C334" s="4">
        <v>-38844.421107664471</v>
      </c>
      <c r="L334" s="4">
        <v>308</v>
      </c>
      <c r="M334" s="4">
        <v>674714.30376777973</v>
      </c>
      <c r="N334" s="4">
        <v>-23550.123767779674</v>
      </c>
      <c r="W334" s="4">
        <v>308</v>
      </c>
      <c r="X334" s="4">
        <v>687430.84548281215</v>
      </c>
      <c r="Y334" s="4">
        <v>-36266.665482812095</v>
      </c>
      <c r="AH334" s="4">
        <v>308</v>
      </c>
      <c r="AI334" s="4">
        <v>704379.61874565319</v>
      </c>
      <c r="AJ334" s="4">
        <v>-53215.43874565314</v>
      </c>
    </row>
    <row r="335" spans="1:36">
      <c r="A335" s="4">
        <v>309</v>
      </c>
      <c r="B335" s="4">
        <v>663988.49144627457</v>
      </c>
      <c r="C335" s="4">
        <v>-35450.191446274519</v>
      </c>
      <c r="L335" s="4">
        <v>309</v>
      </c>
      <c r="M335" s="4">
        <v>651880.36388128984</v>
      </c>
      <c r="N335" s="4">
        <v>-23342.063881289796</v>
      </c>
      <c r="W335" s="4">
        <v>309</v>
      </c>
      <c r="X335" s="4">
        <v>676471.13956021809</v>
      </c>
      <c r="Y335" s="4">
        <v>-47932.839560218039</v>
      </c>
      <c r="AH335" s="4">
        <v>309</v>
      </c>
      <c r="AI335" s="4">
        <v>678874.55142416561</v>
      </c>
      <c r="AJ335" s="4">
        <v>-50336.251424165559</v>
      </c>
    </row>
    <row r="336" spans="1:36">
      <c r="A336" s="4">
        <v>310</v>
      </c>
      <c r="B336" s="4">
        <v>611253.34910259559</v>
      </c>
      <c r="C336" s="4">
        <v>-74728.509102595621</v>
      </c>
      <c r="L336" s="4">
        <v>310</v>
      </c>
      <c r="M336" s="4">
        <v>634968.97715285828</v>
      </c>
      <c r="N336" s="4">
        <v>-98444.137152858311</v>
      </c>
      <c r="W336" s="4">
        <v>310</v>
      </c>
      <c r="X336" s="4">
        <v>674667.64364890521</v>
      </c>
      <c r="Y336" s="4">
        <v>-138142.80364890525</v>
      </c>
      <c r="AH336" s="4">
        <v>310</v>
      </c>
      <c r="AI336" s="4">
        <v>661575.46228437405</v>
      </c>
      <c r="AJ336" s="4">
        <v>-125050.62228437408</v>
      </c>
    </row>
    <row r="337" spans="1:36">
      <c r="A337" s="4">
        <v>311</v>
      </c>
      <c r="B337" s="4">
        <v>676462.13819557964</v>
      </c>
      <c r="C337" s="4">
        <v>-54784.838195579592</v>
      </c>
      <c r="L337" s="4">
        <v>311</v>
      </c>
      <c r="M337" s="4">
        <v>640285.00378268166</v>
      </c>
      <c r="N337" s="4">
        <v>-18607.703782681609</v>
      </c>
      <c r="W337" s="4">
        <v>311</v>
      </c>
      <c r="X337" s="4">
        <v>670089.53864326456</v>
      </c>
      <c r="Y337" s="4">
        <v>-48412.238643264514</v>
      </c>
      <c r="AH337" s="4">
        <v>311</v>
      </c>
      <c r="AI337" s="4">
        <v>674882.4539303676</v>
      </c>
      <c r="AJ337" s="4">
        <v>-53205.153930367553</v>
      </c>
    </row>
    <row r="338" spans="1:36">
      <c r="A338" s="4">
        <v>312</v>
      </c>
      <c r="B338" s="4">
        <v>743977.42773436964</v>
      </c>
      <c r="C338" s="4">
        <v>27151.642265630304</v>
      </c>
      <c r="L338" s="4">
        <v>312</v>
      </c>
      <c r="M338" s="4">
        <v>713246.5773262314</v>
      </c>
      <c r="N338" s="4">
        <v>57882.492673768546</v>
      </c>
      <c r="W338" s="4">
        <v>312</v>
      </c>
      <c r="X338" s="4">
        <v>678135.90501681471</v>
      </c>
      <c r="Y338" s="4">
        <v>92993.164983185241</v>
      </c>
      <c r="AH338" s="4">
        <v>312</v>
      </c>
      <c r="AI338" s="4">
        <v>682201.29933566402</v>
      </c>
      <c r="AJ338" s="4">
        <v>88927.770664335927</v>
      </c>
    </row>
    <row r="339" spans="1:36">
      <c r="A339" s="4">
        <v>313</v>
      </c>
      <c r="B339" s="4">
        <v>728944.62772239337</v>
      </c>
      <c r="C339" s="4">
        <v>-26892.1577223934</v>
      </c>
      <c r="L339" s="4">
        <v>313</v>
      </c>
      <c r="M339" s="4">
        <v>666329.96646570927</v>
      </c>
      <c r="N339" s="4">
        <v>35722.503534290707</v>
      </c>
      <c r="W339" s="4">
        <v>313</v>
      </c>
      <c r="X339" s="4">
        <v>694922.29003749671</v>
      </c>
      <c r="Y339" s="4">
        <v>7130.1799625032581</v>
      </c>
      <c r="AH339" s="4">
        <v>313</v>
      </c>
      <c r="AI339" s="4">
        <v>674438.88754216779</v>
      </c>
      <c r="AJ339" s="4">
        <v>27613.582457832177</v>
      </c>
    </row>
    <row r="340" spans="1:36">
      <c r="A340" s="4">
        <v>314</v>
      </c>
      <c r="B340" s="4">
        <v>660373.30307440483</v>
      </c>
      <c r="C340" s="4">
        <v>27995.156925595133</v>
      </c>
      <c r="L340" s="4">
        <v>314</v>
      </c>
      <c r="M340" s="4">
        <v>730871.52467611583</v>
      </c>
      <c r="N340" s="4">
        <v>-42503.064676115871</v>
      </c>
      <c r="W340" s="4">
        <v>314</v>
      </c>
      <c r="X340" s="4">
        <v>672447.95637344313</v>
      </c>
      <c r="Y340" s="4">
        <v>15920.503626556834</v>
      </c>
      <c r="AH340" s="4">
        <v>314</v>
      </c>
      <c r="AI340" s="4">
        <v>695064.72459345777</v>
      </c>
      <c r="AJ340" s="4">
        <v>-6696.2645934578031</v>
      </c>
    </row>
    <row r="341" spans="1:36">
      <c r="A341" s="4">
        <v>315</v>
      </c>
      <c r="B341" s="4">
        <v>693891.05118314689</v>
      </c>
      <c r="C341" s="4">
        <v>18484.718816853128</v>
      </c>
      <c r="L341" s="4">
        <v>315</v>
      </c>
      <c r="M341" s="4">
        <v>660478.76936979615</v>
      </c>
      <c r="N341" s="4">
        <v>51897.000630203867</v>
      </c>
      <c r="W341" s="4">
        <v>315</v>
      </c>
      <c r="X341" s="4">
        <v>685211.15820735006</v>
      </c>
      <c r="Y341" s="4">
        <v>27164.611792649957</v>
      </c>
      <c r="AH341" s="4">
        <v>315</v>
      </c>
      <c r="AI341" s="4">
        <v>702605.35319285409</v>
      </c>
      <c r="AJ341" s="4">
        <v>9770.416807145928</v>
      </c>
    </row>
    <row r="342" spans="1:36">
      <c r="A342" s="4">
        <v>316</v>
      </c>
      <c r="B342" s="4">
        <v>702300.99970083835</v>
      </c>
      <c r="C342" s="4">
        <v>142409.67029916169</v>
      </c>
      <c r="L342" s="4">
        <v>316</v>
      </c>
      <c r="M342" s="4">
        <v>802013.51863496087</v>
      </c>
      <c r="N342" s="4">
        <v>42697.151365039172</v>
      </c>
      <c r="W342" s="4">
        <v>316</v>
      </c>
      <c r="X342" s="4">
        <v>682852.74047717161</v>
      </c>
      <c r="Y342" s="4">
        <v>161857.92952282843</v>
      </c>
      <c r="AH342" s="4">
        <v>316</v>
      </c>
      <c r="AI342" s="4">
        <v>694842.94139935786</v>
      </c>
      <c r="AJ342" s="4">
        <v>149867.72860064218</v>
      </c>
    </row>
    <row r="343" spans="1:36">
      <c r="A343" s="4">
        <v>317</v>
      </c>
      <c r="B343" s="4">
        <v>723933.31106150895</v>
      </c>
      <c r="C343" s="4">
        <v>-103669.111061509</v>
      </c>
      <c r="L343" s="4">
        <v>317</v>
      </c>
      <c r="M343" s="4">
        <v>647599.00015257299</v>
      </c>
      <c r="N343" s="4">
        <v>-27334.800152573036</v>
      </c>
      <c r="W343" s="4">
        <v>317</v>
      </c>
      <c r="X343" s="4">
        <v>673696.53046589054</v>
      </c>
      <c r="Y343" s="4">
        <v>-53432.330465890584</v>
      </c>
      <c r="AH343" s="4">
        <v>317</v>
      </c>
      <c r="AI343" s="4">
        <v>690850.84390555974</v>
      </c>
      <c r="AJ343" s="4">
        <v>-70586.643905559788</v>
      </c>
    </row>
    <row r="344" spans="1:36">
      <c r="A344" s="4">
        <v>318</v>
      </c>
      <c r="B344" s="4">
        <v>612074.68371494045</v>
      </c>
      <c r="C344" s="4">
        <v>-75229.263714940404</v>
      </c>
      <c r="L344" s="4">
        <v>318</v>
      </c>
      <c r="M344" s="4">
        <v>570070.63863172522</v>
      </c>
      <c r="N344" s="4">
        <v>-33225.218631725176</v>
      </c>
      <c r="W344" s="4">
        <v>318</v>
      </c>
      <c r="X344" s="4">
        <v>697835.62958654074</v>
      </c>
      <c r="Y344" s="4">
        <v>-160990.2095865407</v>
      </c>
      <c r="AH344" s="4">
        <v>318</v>
      </c>
      <c r="AI344" s="4">
        <v>679983.46739466512</v>
      </c>
      <c r="AJ344" s="4">
        <v>-143138.04739466507</v>
      </c>
    </row>
    <row r="345" spans="1:36">
      <c r="A345" s="4">
        <v>319</v>
      </c>
      <c r="B345" s="4">
        <v>735195.05908338912</v>
      </c>
      <c r="C345" s="4">
        <v>-8418.8390833891463</v>
      </c>
      <c r="L345" s="4">
        <v>319</v>
      </c>
      <c r="M345" s="4">
        <v>723807.27452373295</v>
      </c>
      <c r="N345" s="4">
        <v>2968.9454762670211</v>
      </c>
      <c r="W345" s="4">
        <v>319</v>
      </c>
      <c r="X345" s="4">
        <v>668008.58182251884</v>
      </c>
      <c r="Y345" s="4">
        <v>58767.638177481131</v>
      </c>
      <c r="AH345" s="4">
        <v>319</v>
      </c>
      <c r="AI345" s="4">
        <v>673773.53795986809</v>
      </c>
      <c r="AJ345" s="4">
        <v>53002.682040131884</v>
      </c>
    </row>
    <row r="346" spans="1:36" ht="14.5" thickBot="1">
      <c r="A346" s="5">
        <v>320</v>
      </c>
      <c r="B346" s="5">
        <v>647138.24796247343</v>
      </c>
      <c r="C346" s="5">
        <v>-87477.407962473459</v>
      </c>
      <c r="L346" s="5">
        <v>320</v>
      </c>
      <c r="M346" s="5">
        <v>636110.67414718273</v>
      </c>
      <c r="N346" s="5">
        <v>-76449.834147182759</v>
      </c>
      <c r="W346" s="5">
        <v>320</v>
      </c>
      <c r="X346" s="5">
        <v>674945.10455833795</v>
      </c>
      <c r="Y346" s="5">
        <v>-115284.26455833798</v>
      </c>
      <c r="AH346" s="5">
        <v>320</v>
      </c>
      <c r="AI346" s="5">
        <v>671777.48921296909</v>
      </c>
      <c r="AJ346" s="5">
        <v>-112116.64921296912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original_datasheet</vt:lpstr>
      <vt:lpstr>cleaned_datasheet</vt:lpstr>
      <vt:lpstr>dummy_variable_creation_sheet</vt:lpstr>
      <vt:lpstr>simple_regression_outputs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Mitali Kalburgi</cp:lastModifiedBy>
  <dcterms:modified xsi:type="dcterms:W3CDTF">2026-06-19T19:56:55Z</dcterms:modified>
</cp:coreProperties>
</file>