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itali Kalburgi\OneDrive\Desktop\Bitsom Notes\Assignments\Final Capstone Project\part3_regression_insights\part3_regression_insights\analysis\"/>
    </mc:Choice>
  </mc:AlternateContent>
  <xr:revisionPtr revIDLastSave="0" documentId="13_ncr:1_{7632FFB4-88FE-42D9-836C-5D913F90E813}" xr6:coauthVersionLast="47" xr6:coauthVersionMax="47" xr10:uidLastSave="{00000000-0000-0000-0000-000000000000}"/>
  <bookViews>
    <workbookView xWindow="-110" yWindow="-110" windowWidth="22620" windowHeight="13500" firstSheet="3" activeTab="5" xr2:uid="{00000000-000D-0000-FFFF-FFFF00000000}"/>
  </bookViews>
  <sheets>
    <sheet name="original_datasheet" sheetId="1" r:id="rId1"/>
    <sheet name="cleaned_datasheet" sheetId="3" r:id="rId2"/>
    <sheet name="dummy_variable_creation_sheet" sheetId="6" r:id="rId3"/>
    <sheet name="simple_regression_outputs" sheetId="8" r:id="rId4"/>
    <sheet name="multiple_regression_outputs" sheetId="9" r:id="rId5"/>
    <sheet name="prediction_residual_calculation" sheetId="10" r:id="rId6"/>
  </sheets>
  <definedNames>
    <definedName name="_xlnm._FilterDatabase" localSheetId="1" hidden="1">cleaned_datasheet!$A$1:$N$321</definedName>
    <definedName name="_xlnm._FilterDatabase" localSheetId="2" hidden="1">dummy_variable_creation_sheet!$A$1:$T$321</definedName>
    <definedName name="_xlchart.v1.0" hidden="1">cleaned_datasheet!$J$2:$J$72</definedName>
    <definedName name="_xlchart.v1.1" hidden="1">cleaned_datasheet!$L$2:$L$34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68" i="10" l="1"/>
  <c r="A6" i="10"/>
  <c r="B6" i="10"/>
  <c r="C6" i="10"/>
  <c r="D6" i="10"/>
  <c r="E6" i="10"/>
  <c r="F6" i="10"/>
  <c r="G6" i="10"/>
  <c r="A5" i="10"/>
  <c r="B5" i="10"/>
  <c r="C5" i="10"/>
  <c r="D5" i="10"/>
  <c r="E5" i="10"/>
  <c r="F5" i="10"/>
  <c r="G5" i="10"/>
  <c r="A4" i="10"/>
  <c r="B4" i="10"/>
  <c r="C4" i="10"/>
  <c r="D4" i="10"/>
  <c r="E4" i="10"/>
  <c r="F4" i="10"/>
  <c r="G4" i="10"/>
  <c r="A8" i="10"/>
  <c r="B8" i="10"/>
  <c r="C8" i="10"/>
  <c r="D8" i="10"/>
  <c r="E8" i="10"/>
  <c r="F8" i="10"/>
  <c r="G8" i="10"/>
  <c r="A9" i="10"/>
  <c r="B9" i="10"/>
  <c r="C9" i="10"/>
  <c r="D9" i="10"/>
  <c r="E9" i="10"/>
  <c r="F9" i="10"/>
  <c r="G9" i="10"/>
  <c r="A10" i="10"/>
  <c r="B10" i="10"/>
  <c r="C10" i="10"/>
  <c r="D10" i="10"/>
  <c r="E10" i="10"/>
  <c r="F10" i="10"/>
  <c r="G10" i="10"/>
  <c r="A11" i="10"/>
  <c r="B11" i="10"/>
  <c r="C11" i="10"/>
  <c r="D11" i="10"/>
  <c r="E11" i="10"/>
  <c r="F11" i="10"/>
  <c r="G11" i="10"/>
  <c r="A15" i="10"/>
  <c r="B15" i="10"/>
  <c r="C15" i="10"/>
  <c r="D15" i="10"/>
  <c r="E15" i="10"/>
  <c r="F15" i="10"/>
  <c r="G15" i="10"/>
  <c r="A13" i="10"/>
  <c r="B13" i="10"/>
  <c r="C13" i="10"/>
  <c r="D13" i="10"/>
  <c r="E13" i="10"/>
  <c r="F13" i="10"/>
  <c r="G13" i="10"/>
  <c r="A12" i="10"/>
  <c r="B12" i="10"/>
  <c r="C12" i="10"/>
  <c r="D12" i="10"/>
  <c r="E12" i="10"/>
  <c r="F12" i="10"/>
  <c r="G12" i="10"/>
  <c r="A14" i="10"/>
  <c r="B14" i="10"/>
  <c r="C14" i="10"/>
  <c r="D14" i="10"/>
  <c r="E14" i="10"/>
  <c r="F14" i="10"/>
  <c r="G14" i="10"/>
  <c r="A19" i="10"/>
  <c r="B19" i="10"/>
  <c r="C19" i="10"/>
  <c r="D19" i="10"/>
  <c r="E19" i="10"/>
  <c r="F19" i="10"/>
  <c r="G19" i="10"/>
  <c r="A16" i="10"/>
  <c r="B16" i="10"/>
  <c r="C16" i="10"/>
  <c r="D16" i="10"/>
  <c r="E16" i="10"/>
  <c r="F16" i="10"/>
  <c r="G16" i="10"/>
  <c r="A17" i="10"/>
  <c r="B17" i="10"/>
  <c r="C17" i="10"/>
  <c r="D17" i="10"/>
  <c r="E17" i="10"/>
  <c r="F17" i="10"/>
  <c r="G17" i="10"/>
  <c r="A18" i="10"/>
  <c r="B18" i="10"/>
  <c r="C18" i="10"/>
  <c r="D18" i="10"/>
  <c r="E18" i="10"/>
  <c r="F18" i="10"/>
  <c r="G18" i="10"/>
  <c r="A22" i="10"/>
  <c r="B22" i="10"/>
  <c r="C22" i="10"/>
  <c r="D22" i="10"/>
  <c r="E22" i="10"/>
  <c r="F22" i="10"/>
  <c r="G22" i="10"/>
  <c r="A20" i="10"/>
  <c r="B20" i="10"/>
  <c r="C20" i="10"/>
  <c r="D20" i="10"/>
  <c r="E20" i="10"/>
  <c r="F20" i="10"/>
  <c r="G20" i="10"/>
  <c r="A21" i="10"/>
  <c r="B21" i="10"/>
  <c r="C21" i="10"/>
  <c r="D21" i="10"/>
  <c r="E21" i="10"/>
  <c r="F21" i="10"/>
  <c r="G21" i="10"/>
  <c r="A23" i="10"/>
  <c r="B23" i="10"/>
  <c r="C23" i="10"/>
  <c r="D23" i="10"/>
  <c r="E23" i="10"/>
  <c r="F23" i="10"/>
  <c r="G23" i="10"/>
  <c r="A24" i="10"/>
  <c r="B24" i="10"/>
  <c r="C24" i="10"/>
  <c r="D24" i="10"/>
  <c r="E24" i="10"/>
  <c r="F24" i="10"/>
  <c r="G24" i="10"/>
  <c r="A25" i="10"/>
  <c r="B25" i="10"/>
  <c r="C25" i="10"/>
  <c r="D25" i="10"/>
  <c r="E25" i="10"/>
  <c r="F25" i="10"/>
  <c r="G25" i="10"/>
  <c r="A27" i="10"/>
  <c r="B27" i="10"/>
  <c r="C27" i="10"/>
  <c r="D27" i="10"/>
  <c r="E27" i="10"/>
  <c r="F27" i="10"/>
  <c r="G27" i="10"/>
  <c r="A26" i="10"/>
  <c r="B26" i="10"/>
  <c r="C26" i="10"/>
  <c r="D26" i="10"/>
  <c r="E26" i="10"/>
  <c r="F26" i="10"/>
  <c r="G26" i="10"/>
  <c r="A29" i="10"/>
  <c r="B29" i="10"/>
  <c r="C29" i="10"/>
  <c r="D29" i="10"/>
  <c r="E29" i="10"/>
  <c r="F29" i="10"/>
  <c r="G29" i="10"/>
  <c r="A28" i="10"/>
  <c r="B28" i="10"/>
  <c r="C28" i="10"/>
  <c r="D28" i="10"/>
  <c r="E28" i="10"/>
  <c r="F28" i="10"/>
  <c r="G28" i="10"/>
  <c r="A30" i="10"/>
  <c r="B30" i="10"/>
  <c r="C30" i="10"/>
  <c r="D30" i="10"/>
  <c r="E30" i="10"/>
  <c r="F30" i="10"/>
  <c r="G30" i="10"/>
  <c r="A31" i="10"/>
  <c r="B31" i="10"/>
  <c r="C31" i="10"/>
  <c r="D31" i="10"/>
  <c r="E31" i="10"/>
  <c r="F31" i="10"/>
  <c r="G31" i="10"/>
  <c r="A32" i="10"/>
  <c r="B32" i="10"/>
  <c r="C32" i="10"/>
  <c r="D32" i="10"/>
  <c r="E32" i="10"/>
  <c r="F32" i="10"/>
  <c r="G32" i="10"/>
  <c r="A35" i="10"/>
  <c r="B35" i="10"/>
  <c r="C35" i="10"/>
  <c r="D35" i="10"/>
  <c r="E35" i="10"/>
  <c r="F35" i="10"/>
  <c r="G35" i="10"/>
  <c r="A34" i="10"/>
  <c r="B34" i="10"/>
  <c r="C34" i="10"/>
  <c r="D34" i="10"/>
  <c r="E34" i="10"/>
  <c r="F34" i="10"/>
  <c r="G34" i="10"/>
  <c r="A33" i="10"/>
  <c r="B33" i="10"/>
  <c r="C33" i="10"/>
  <c r="D33" i="10"/>
  <c r="E33" i="10"/>
  <c r="F33" i="10"/>
  <c r="G33" i="10"/>
  <c r="A36" i="10"/>
  <c r="B36" i="10"/>
  <c r="C36" i="10"/>
  <c r="D36" i="10"/>
  <c r="E36" i="10"/>
  <c r="F36" i="10"/>
  <c r="G36" i="10"/>
  <c r="A37" i="10"/>
  <c r="B37" i="10"/>
  <c r="C37" i="10"/>
  <c r="D37" i="10"/>
  <c r="E37" i="10"/>
  <c r="F37" i="10"/>
  <c r="G37" i="10"/>
  <c r="A39" i="10"/>
  <c r="B39" i="10"/>
  <c r="C39" i="10"/>
  <c r="D39" i="10"/>
  <c r="E39" i="10"/>
  <c r="F39" i="10"/>
  <c r="G39" i="10"/>
  <c r="A38" i="10"/>
  <c r="B38" i="10"/>
  <c r="C38" i="10"/>
  <c r="D38" i="10"/>
  <c r="E38" i="10"/>
  <c r="F38" i="10"/>
  <c r="G38" i="10"/>
  <c r="A43" i="10"/>
  <c r="B43" i="10"/>
  <c r="C43" i="10"/>
  <c r="D43" i="10"/>
  <c r="E43" i="10"/>
  <c r="F43" i="10"/>
  <c r="G43" i="10"/>
  <c r="A40" i="10"/>
  <c r="B40" i="10"/>
  <c r="C40" i="10"/>
  <c r="D40" i="10"/>
  <c r="E40" i="10"/>
  <c r="F40" i="10"/>
  <c r="G40" i="10"/>
  <c r="A41" i="10"/>
  <c r="B41" i="10"/>
  <c r="C41" i="10"/>
  <c r="D41" i="10"/>
  <c r="E41" i="10"/>
  <c r="F41" i="10"/>
  <c r="G41" i="10"/>
  <c r="A42" i="10"/>
  <c r="B42" i="10"/>
  <c r="C42" i="10"/>
  <c r="D42" i="10"/>
  <c r="E42" i="10"/>
  <c r="F42" i="10"/>
  <c r="G42" i="10"/>
  <c r="A45" i="10"/>
  <c r="B45" i="10"/>
  <c r="C45" i="10"/>
  <c r="D45" i="10"/>
  <c r="E45" i="10"/>
  <c r="F45" i="10"/>
  <c r="G45" i="10"/>
  <c r="A46" i="10"/>
  <c r="B46" i="10"/>
  <c r="C46" i="10"/>
  <c r="D46" i="10"/>
  <c r="E46" i="10"/>
  <c r="F46" i="10"/>
  <c r="G46" i="10"/>
  <c r="A47" i="10"/>
  <c r="B47" i="10"/>
  <c r="C47" i="10"/>
  <c r="D47" i="10"/>
  <c r="E47" i="10"/>
  <c r="F47" i="10"/>
  <c r="G47" i="10"/>
  <c r="A44" i="10"/>
  <c r="B44" i="10"/>
  <c r="C44" i="10"/>
  <c r="D44" i="10"/>
  <c r="E44" i="10"/>
  <c r="F44" i="10"/>
  <c r="G44" i="10"/>
  <c r="A48" i="10"/>
  <c r="B48" i="10"/>
  <c r="C48" i="10"/>
  <c r="D48" i="10"/>
  <c r="E48" i="10"/>
  <c r="F48" i="10"/>
  <c r="G48" i="10"/>
  <c r="A49" i="10"/>
  <c r="B49" i="10"/>
  <c r="C49" i="10"/>
  <c r="D49" i="10"/>
  <c r="E49" i="10"/>
  <c r="F49" i="10"/>
  <c r="G49" i="10"/>
  <c r="A51" i="10"/>
  <c r="B51" i="10"/>
  <c r="C51" i="10"/>
  <c r="D51" i="10"/>
  <c r="E51" i="10"/>
  <c r="F51" i="10"/>
  <c r="G51" i="10"/>
  <c r="A50" i="10"/>
  <c r="B50" i="10"/>
  <c r="C50" i="10"/>
  <c r="D50" i="10"/>
  <c r="E50" i="10"/>
  <c r="F50" i="10"/>
  <c r="G50" i="10"/>
  <c r="A52" i="10"/>
  <c r="B52" i="10"/>
  <c r="C52" i="10"/>
  <c r="D52" i="10"/>
  <c r="E52" i="10"/>
  <c r="F52" i="10"/>
  <c r="G52" i="10"/>
  <c r="A54" i="10"/>
  <c r="B54" i="10"/>
  <c r="C54" i="10"/>
  <c r="D54" i="10"/>
  <c r="E54" i="10"/>
  <c r="F54" i="10"/>
  <c r="G54" i="10"/>
  <c r="A53" i="10"/>
  <c r="B53" i="10"/>
  <c r="C53" i="10"/>
  <c r="D53" i="10"/>
  <c r="E53" i="10"/>
  <c r="F53" i="10"/>
  <c r="G53" i="10"/>
  <c r="A55" i="10"/>
  <c r="B55" i="10"/>
  <c r="C55" i="10"/>
  <c r="D55" i="10"/>
  <c r="E55" i="10"/>
  <c r="F55" i="10"/>
  <c r="G55" i="10"/>
  <c r="A56" i="10"/>
  <c r="B56" i="10"/>
  <c r="C56" i="10"/>
  <c r="D56" i="10"/>
  <c r="E56" i="10"/>
  <c r="F56" i="10"/>
  <c r="G56" i="10"/>
  <c r="A58" i="10"/>
  <c r="B58" i="10"/>
  <c r="C58" i="10"/>
  <c r="D58" i="10"/>
  <c r="E58" i="10"/>
  <c r="F58" i="10"/>
  <c r="G58" i="10"/>
  <c r="A59" i="10"/>
  <c r="B59" i="10"/>
  <c r="C59" i="10"/>
  <c r="D59" i="10"/>
  <c r="E59" i="10"/>
  <c r="F59" i="10"/>
  <c r="G59" i="10"/>
  <c r="A57" i="10"/>
  <c r="B57" i="10"/>
  <c r="C57" i="10"/>
  <c r="D57" i="10"/>
  <c r="E57" i="10"/>
  <c r="F57" i="10"/>
  <c r="G57" i="10"/>
  <c r="A63" i="10"/>
  <c r="B63" i="10"/>
  <c r="C63" i="10"/>
  <c r="D63" i="10"/>
  <c r="E63" i="10"/>
  <c r="F63" i="10"/>
  <c r="G63" i="10"/>
  <c r="A62" i="10"/>
  <c r="B62" i="10"/>
  <c r="C62" i="10"/>
  <c r="D62" i="10"/>
  <c r="E62" i="10"/>
  <c r="F62" i="10"/>
  <c r="G62" i="10"/>
  <c r="A61" i="10"/>
  <c r="B61" i="10"/>
  <c r="C61" i="10"/>
  <c r="D61" i="10"/>
  <c r="E61" i="10"/>
  <c r="F61" i="10"/>
  <c r="G61" i="10"/>
  <c r="A60" i="10"/>
  <c r="B60" i="10"/>
  <c r="C60" i="10"/>
  <c r="D60" i="10"/>
  <c r="E60" i="10"/>
  <c r="F60" i="10"/>
  <c r="G60" i="10"/>
  <c r="A67" i="10"/>
  <c r="B67" i="10"/>
  <c r="C67" i="10"/>
  <c r="D67" i="10"/>
  <c r="E67" i="10"/>
  <c r="F67" i="10"/>
  <c r="G67" i="10"/>
  <c r="A66" i="10"/>
  <c r="B66" i="10"/>
  <c r="C66" i="10"/>
  <c r="D66" i="10"/>
  <c r="E66" i="10"/>
  <c r="F66" i="10"/>
  <c r="G66" i="10"/>
  <c r="A64" i="10"/>
  <c r="B64" i="10"/>
  <c r="C64" i="10"/>
  <c r="D64" i="10"/>
  <c r="E64" i="10"/>
  <c r="F64" i="10"/>
  <c r="G64" i="10"/>
  <c r="A65" i="10"/>
  <c r="B65" i="10"/>
  <c r="C65" i="10"/>
  <c r="D65" i="10"/>
  <c r="E65" i="10"/>
  <c r="F65" i="10"/>
  <c r="G65" i="10"/>
  <c r="A69" i="10"/>
  <c r="B69" i="10"/>
  <c r="C69" i="10"/>
  <c r="D69" i="10"/>
  <c r="E69" i="10"/>
  <c r="F69" i="10"/>
  <c r="G69" i="10"/>
  <c r="A70" i="10"/>
  <c r="B70" i="10"/>
  <c r="C70" i="10"/>
  <c r="D70" i="10"/>
  <c r="E70" i="10"/>
  <c r="F70" i="10"/>
  <c r="G70" i="10"/>
  <c r="B68" i="10"/>
  <c r="C68" i="10"/>
  <c r="D68" i="10"/>
  <c r="E68" i="10"/>
  <c r="F68" i="10"/>
  <c r="G68" i="10"/>
  <c r="A71" i="10"/>
  <c r="B71" i="10"/>
  <c r="C71" i="10"/>
  <c r="D71" i="10"/>
  <c r="E71" i="10"/>
  <c r="F71" i="10"/>
  <c r="G71" i="10"/>
  <c r="A75" i="10"/>
  <c r="B75" i="10"/>
  <c r="C75" i="10"/>
  <c r="D75" i="10"/>
  <c r="E75" i="10"/>
  <c r="F75" i="10"/>
  <c r="G75" i="10"/>
  <c r="A72" i="10"/>
  <c r="B72" i="10"/>
  <c r="C72" i="10"/>
  <c r="D72" i="10"/>
  <c r="E72" i="10"/>
  <c r="F72" i="10"/>
  <c r="G72" i="10"/>
  <c r="A73" i="10"/>
  <c r="B73" i="10"/>
  <c r="C73" i="10"/>
  <c r="D73" i="10"/>
  <c r="E73" i="10"/>
  <c r="F73" i="10"/>
  <c r="G73" i="10"/>
  <c r="A74" i="10"/>
  <c r="B74" i="10"/>
  <c r="C74" i="10"/>
  <c r="D74" i="10"/>
  <c r="E74" i="10"/>
  <c r="F74" i="10"/>
  <c r="G74" i="10"/>
  <c r="A78" i="10"/>
  <c r="B78" i="10"/>
  <c r="C78" i="10"/>
  <c r="D78" i="10"/>
  <c r="E78" i="10"/>
  <c r="F78" i="10"/>
  <c r="G78" i="10"/>
  <c r="A76" i="10"/>
  <c r="B76" i="10"/>
  <c r="C76" i="10"/>
  <c r="D76" i="10"/>
  <c r="E76" i="10"/>
  <c r="F76" i="10"/>
  <c r="G76" i="10"/>
  <c r="A79" i="10"/>
  <c r="B79" i="10"/>
  <c r="C79" i="10"/>
  <c r="D79" i="10"/>
  <c r="E79" i="10"/>
  <c r="F79" i="10"/>
  <c r="G79" i="10"/>
  <c r="A77" i="10"/>
  <c r="B77" i="10"/>
  <c r="C77" i="10"/>
  <c r="D77" i="10"/>
  <c r="E77" i="10"/>
  <c r="F77" i="10"/>
  <c r="G77" i="10"/>
  <c r="A81" i="10"/>
  <c r="B81" i="10"/>
  <c r="C81" i="10"/>
  <c r="D81" i="10"/>
  <c r="E81" i="10"/>
  <c r="F81" i="10"/>
  <c r="G81" i="10"/>
  <c r="A82" i="10"/>
  <c r="B82" i="10"/>
  <c r="C82" i="10"/>
  <c r="D82" i="10"/>
  <c r="E82" i="10"/>
  <c r="F82" i="10"/>
  <c r="G82" i="10"/>
  <c r="A83" i="10"/>
  <c r="B83" i="10"/>
  <c r="C83" i="10"/>
  <c r="D83" i="10"/>
  <c r="E83" i="10"/>
  <c r="F83" i="10"/>
  <c r="G83" i="10"/>
  <c r="A80" i="10"/>
  <c r="B80" i="10"/>
  <c r="C80" i="10"/>
  <c r="D80" i="10"/>
  <c r="E80" i="10"/>
  <c r="F80" i="10"/>
  <c r="G80" i="10"/>
  <c r="A84" i="10"/>
  <c r="B84" i="10"/>
  <c r="C84" i="10"/>
  <c r="D84" i="10"/>
  <c r="E84" i="10"/>
  <c r="F84" i="10"/>
  <c r="G84" i="10"/>
  <c r="A86" i="10"/>
  <c r="B86" i="10"/>
  <c r="C86" i="10"/>
  <c r="D86" i="10"/>
  <c r="E86" i="10"/>
  <c r="F86" i="10"/>
  <c r="G86" i="10"/>
  <c r="A87" i="10"/>
  <c r="B87" i="10"/>
  <c r="C87" i="10"/>
  <c r="D87" i="10"/>
  <c r="E87" i="10"/>
  <c r="F87" i="10"/>
  <c r="G87" i="10"/>
  <c r="A85" i="10"/>
  <c r="B85" i="10"/>
  <c r="C85" i="10"/>
  <c r="D85" i="10"/>
  <c r="E85" i="10"/>
  <c r="F85" i="10"/>
  <c r="G85" i="10"/>
  <c r="A91" i="10"/>
  <c r="B91" i="10"/>
  <c r="C91" i="10"/>
  <c r="D91" i="10"/>
  <c r="E91" i="10"/>
  <c r="F91" i="10"/>
  <c r="G91" i="10"/>
  <c r="A88" i="10"/>
  <c r="B88" i="10"/>
  <c r="C88" i="10"/>
  <c r="D88" i="10"/>
  <c r="E88" i="10"/>
  <c r="F88" i="10"/>
  <c r="G88" i="10"/>
  <c r="A89" i="10"/>
  <c r="B89" i="10"/>
  <c r="C89" i="10"/>
  <c r="D89" i="10"/>
  <c r="E89" i="10"/>
  <c r="F89" i="10"/>
  <c r="G89" i="10"/>
  <c r="A90" i="10"/>
  <c r="B90" i="10"/>
  <c r="C90" i="10"/>
  <c r="D90" i="10"/>
  <c r="E90" i="10"/>
  <c r="F90" i="10"/>
  <c r="G90" i="10"/>
  <c r="A95" i="10"/>
  <c r="B95" i="10"/>
  <c r="C95" i="10"/>
  <c r="D95" i="10"/>
  <c r="E95" i="10"/>
  <c r="F95" i="10"/>
  <c r="G95" i="10"/>
  <c r="A92" i="10"/>
  <c r="B92" i="10"/>
  <c r="C92" i="10"/>
  <c r="D92" i="10"/>
  <c r="E92" i="10"/>
  <c r="F92" i="10"/>
  <c r="G92" i="10"/>
  <c r="A93" i="10"/>
  <c r="B93" i="10"/>
  <c r="C93" i="10"/>
  <c r="D93" i="10"/>
  <c r="E93" i="10"/>
  <c r="F93" i="10"/>
  <c r="G93" i="10"/>
  <c r="A94" i="10"/>
  <c r="B94" i="10"/>
  <c r="C94" i="10"/>
  <c r="D94" i="10"/>
  <c r="E94" i="10"/>
  <c r="F94" i="10"/>
  <c r="G94" i="10"/>
  <c r="A97" i="10"/>
  <c r="B97" i="10"/>
  <c r="C97" i="10"/>
  <c r="D97" i="10"/>
  <c r="E97" i="10"/>
  <c r="F97" i="10"/>
  <c r="G97" i="10"/>
  <c r="A98" i="10"/>
  <c r="B98" i="10"/>
  <c r="C98" i="10"/>
  <c r="D98" i="10"/>
  <c r="E98" i="10"/>
  <c r="F98" i="10"/>
  <c r="G98" i="10"/>
  <c r="A99" i="10"/>
  <c r="B99" i="10"/>
  <c r="C99" i="10"/>
  <c r="D99" i="10"/>
  <c r="E99" i="10"/>
  <c r="F99" i="10"/>
  <c r="G99" i="10"/>
  <c r="A96" i="10"/>
  <c r="B96" i="10"/>
  <c r="C96" i="10"/>
  <c r="D96" i="10"/>
  <c r="E96" i="10"/>
  <c r="F96" i="10"/>
  <c r="G96" i="10"/>
  <c r="A101" i="10"/>
  <c r="B101" i="10"/>
  <c r="C101" i="10"/>
  <c r="D101" i="10"/>
  <c r="E101" i="10"/>
  <c r="F101" i="10"/>
  <c r="G101" i="10"/>
  <c r="A103" i="10"/>
  <c r="B103" i="10"/>
  <c r="C103" i="10"/>
  <c r="D103" i="10"/>
  <c r="E103" i="10"/>
  <c r="F103" i="10"/>
  <c r="G103" i="10"/>
  <c r="A100" i="10"/>
  <c r="B100" i="10"/>
  <c r="C100" i="10"/>
  <c r="D100" i="10"/>
  <c r="E100" i="10"/>
  <c r="F100" i="10"/>
  <c r="G100" i="10"/>
  <c r="A102" i="10"/>
  <c r="B102" i="10"/>
  <c r="C102" i="10"/>
  <c r="D102" i="10"/>
  <c r="E102" i="10"/>
  <c r="F102" i="10"/>
  <c r="G102" i="10"/>
  <c r="A106" i="10"/>
  <c r="B106" i="10"/>
  <c r="C106" i="10"/>
  <c r="D106" i="10"/>
  <c r="E106" i="10"/>
  <c r="F106" i="10"/>
  <c r="G106" i="10"/>
  <c r="A104" i="10"/>
  <c r="B104" i="10"/>
  <c r="C104" i="10"/>
  <c r="D104" i="10"/>
  <c r="E104" i="10"/>
  <c r="F104" i="10"/>
  <c r="G104" i="10"/>
  <c r="A105" i="10"/>
  <c r="B105" i="10"/>
  <c r="C105" i="10"/>
  <c r="D105" i="10"/>
  <c r="E105" i="10"/>
  <c r="F105" i="10"/>
  <c r="G105" i="10"/>
  <c r="A107" i="10"/>
  <c r="B107" i="10"/>
  <c r="C107" i="10"/>
  <c r="D107" i="10"/>
  <c r="E107" i="10"/>
  <c r="F107" i="10"/>
  <c r="G107" i="10"/>
  <c r="A110" i="10"/>
  <c r="B110" i="10"/>
  <c r="C110" i="10"/>
  <c r="D110" i="10"/>
  <c r="E110" i="10"/>
  <c r="F110" i="10"/>
  <c r="G110" i="10"/>
  <c r="A108" i="10"/>
  <c r="B108" i="10"/>
  <c r="C108" i="10"/>
  <c r="D108" i="10"/>
  <c r="E108" i="10"/>
  <c r="F108" i="10"/>
  <c r="G108" i="10"/>
  <c r="A111" i="10"/>
  <c r="B111" i="10"/>
  <c r="C111" i="10"/>
  <c r="D111" i="10"/>
  <c r="E111" i="10"/>
  <c r="F111" i="10"/>
  <c r="G111" i="10"/>
  <c r="A109" i="10"/>
  <c r="B109" i="10"/>
  <c r="C109" i="10"/>
  <c r="D109" i="10"/>
  <c r="E109" i="10"/>
  <c r="F109" i="10"/>
  <c r="G109" i="10"/>
  <c r="A114" i="10"/>
  <c r="B114" i="10"/>
  <c r="C114" i="10"/>
  <c r="D114" i="10"/>
  <c r="E114" i="10"/>
  <c r="F114" i="10"/>
  <c r="G114" i="10"/>
  <c r="A113" i="10"/>
  <c r="B113" i="10"/>
  <c r="C113" i="10"/>
  <c r="D113" i="10"/>
  <c r="E113" i="10"/>
  <c r="F113" i="10"/>
  <c r="G113" i="10"/>
  <c r="A112" i="10"/>
  <c r="B112" i="10"/>
  <c r="C112" i="10"/>
  <c r="D112" i="10"/>
  <c r="E112" i="10"/>
  <c r="F112" i="10"/>
  <c r="G112" i="10"/>
  <c r="A115" i="10"/>
  <c r="B115" i="10"/>
  <c r="C115" i="10"/>
  <c r="D115" i="10"/>
  <c r="E115" i="10"/>
  <c r="F115" i="10"/>
  <c r="G115" i="10"/>
  <c r="A119" i="10"/>
  <c r="B119" i="10"/>
  <c r="C119" i="10"/>
  <c r="D119" i="10"/>
  <c r="E119" i="10"/>
  <c r="F119" i="10"/>
  <c r="G119" i="10"/>
  <c r="A118" i="10"/>
  <c r="B118" i="10"/>
  <c r="C118" i="10"/>
  <c r="D118" i="10"/>
  <c r="E118" i="10"/>
  <c r="F118" i="10"/>
  <c r="G118" i="10"/>
  <c r="A116" i="10"/>
  <c r="B116" i="10"/>
  <c r="C116" i="10"/>
  <c r="D116" i="10"/>
  <c r="E116" i="10"/>
  <c r="F116" i="10"/>
  <c r="G116" i="10"/>
  <c r="A117" i="10"/>
  <c r="B117" i="10"/>
  <c r="C117" i="10"/>
  <c r="D117" i="10"/>
  <c r="E117" i="10"/>
  <c r="F117" i="10"/>
  <c r="G117" i="10"/>
  <c r="A122" i="10"/>
  <c r="B122" i="10"/>
  <c r="C122" i="10"/>
  <c r="D122" i="10"/>
  <c r="E122" i="10"/>
  <c r="F122" i="10"/>
  <c r="G122" i="10"/>
  <c r="A123" i="10"/>
  <c r="B123" i="10"/>
  <c r="C123" i="10"/>
  <c r="D123" i="10"/>
  <c r="E123" i="10"/>
  <c r="F123" i="10"/>
  <c r="G123" i="10"/>
  <c r="A120" i="10"/>
  <c r="B120" i="10"/>
  <c r="C120" i="10"/>
  <c r="D120" i="10"/>
  <c r="E120" i="10"/>
  <c r="F120" i="10"/>
  <c r="G120" i="10"/>
  <c r="A121" i="10"/>
  <c r="B121" i="10"/>
  <c r="C121" i="10"/>
  <c r="D121" i="10"/>
  <c r="E121" i="10"/>
  <c r="F121" i="10"/>
  <c r="G121" i="10"/>
  <c r="A125" i="10"/>
  <c r="B125" i="10"/>
  <c r="C125" i="10"/>
  <c r="D125" i="10"/>
  <c r="E125" i="10"/>
  <c r="F125" i="10"/>
  <c r="G125" i="10"/>
  <c r="A127" i="10"/>
  <c r="B127" i="10"/>
  <c r="C127" i="10"/>
  <c r="D127" i="10"/>
  <c r="E127" i="10"/>
  <c r="F127" i="10"/>
  <c r="G127" i="10"/>
  <c r="A126" i="10"/>
  <c r="B126" i="10"/>
  <c r="C126" i="10"/>
  <c r="D126" i="10"/>
  <c r="E126" i="10"/>
  <c r="F126" i="10"/>
  <c r="G126" i="10"/>
  <c r="A124" i="10"/>
  <c r="B124" i="10"/>
  <c r="C124" i="10"/>
  <c r="D124" i="10"/>
  <c r="E124" i="10"/>
  <c r="F124" i="10"/>
  <c r="G124" i="10"/>
  <c r="A131" i="10"/>
  <c r="B131" i="10"/>
  <c r="C131" i="10"/>
  <c r="D131" i="10"/>
  <c r="E131" i="10"/>
  <c r="F131" i="10"/>
  <c r="G131" i="10"/>
  <c r="A128" i="10"/>
  <c r="B128" i="10"/>
  <c r="C128" i="10"/>
  <c r="D128" i="10"/>
  <c r="E128" i="10"/>
  <c r="F128" i="10"/>
  <c r="G128" i="10"/>
  <c r="A130" i="10"/>
  <c r="B130" i="10"/>
  <c r="C130" i="10"/>
  <c r="D130" i="10"/>
  <c r="E130" i="10"/>
  <c r="F130" i="10"/>
  <c r="G130" i="10"/>
  <c r="A129" i="10"/>
  <c r="B129" i="10"/>
  <c r="C129" i="10"/>
  <c r="D129" i="10"/>
  <c r="E129" i="10"/>
  <c r="F129" i="10"/>
  <c r="G129" i="10"/>
  <c r="A135" i="10"/>
  <c r="B135" i="10"/>
  <c r="C135" i="10"/>
  <c r="D135" i="10"/>
  <c r="E135" i="10"/>
  <c r="F135" i="10"/>
  <c r="G135" i="10"/>
  <c r="A134" i="10"/>
  <c r="B134" i="10"/>
  <c r="C134" i="10"/>
  <c r="D134" i="10"/>
  <c r="E134" i="10"/>
  <c r="F134" i="10"/>
  <c r="G134" i="10"/>
  <c r="A132" i="10"/>
  <c r="B132" i="10"/>
  <c r="C132" i="10"/>
  <c r="D132" i="10"/>
  <c r="E132" i="10"/>
  <c r="F132" i="10"/>
  <c r="G132" i="10"/>
  <c r="A133" i="10"/>
  <c r="B133" i="10"/>
  <c r="C133" i="10"/>
  <c r="D133" i="10"/>
  <c r="E133" i="10"/>
  <c r="F133" i="10"/>
  <c r="G133" i="10"/>
  <c r="A137" i="10"/>
  <c r="B137" i="10"/>
  <c r="C137" i="10"/>
  <c r="D137" i="10"/>
  <c r="E137" i="10"/>
  <c r="F137" i="10"/>
  <c r="G137" i="10"/>
  <c r="A136" i="10"/>
  <c r="B136" i="10"/>
  <c r="C136" i="10"/>
  <c r="D136" i="10"/>
  <c r="E136" i="10"/>
  <c r="F136" i="10"/>
  <c r="G136" i="10"/>
  <c r="A139" i="10"/>
  <c r="B139" i="10"/>
  <c r="C139" i="10"/>
  <c r="D139" i="10"/>
  <c r="E139" i="10"/>
  <c r="F139" i="10"/>
  <c r="G139" i="10"/>
  <c r="A138" i="10"/>
  <c r="B138" i="10"/>
  <c r="C138" i="10"/>
  <c r="D138" i="10"/>
  <c r="E138" i="10"/>
  <c r="F138" i="10"/>
  <c r="G138" i="10"/>
  <c r="A140" i="10"/>
  <c r="B140" i="10"/>
  <c r="C140" i="10"/>
  <c r="D140" i="10"/>
  <c r="E140" i="10"/>
  <c r="F140" i="10"/>
  <c r="G140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/>
  <c r="F143" i="10"/>
  <c r="G143" i="10"/>
  <c r="A141" i="10"/>
  <c r="B141" i="10"/>
  <c r="C141" i="10"/>
  <c r="D141" i="10"/>
  <c r="E141" i="10"/>
  <c r="F141" i="10"/>
  <c r="G141" i="10"/>
  <c r="A147" i="10"/>
  <c r="B147" i="10"/>
  <c r="C147" i="10"/>
  <c r="D147" i="10"/>
  <c r="E147" i="10"/>
  <c r="F147" i="10"/>
  <c r="G147" i="10"/>
  <c r="A144" i="10"/>
  <c r="B144" i="10"/>
  <c r="C144" i="10"/>
  <c r="D144" i="10"/>
  <c r="E144" i="10"/>
  <c r="F144" i="10"/>
  <c r="G144" i="10"/>
  <c r="A146" i="10"/>
  <c r="B146" i="10"/>
  <c r="C146" i="10"/>
  <c r="D146" i="10"/>
  <c r="E146" i="10"/>
  <c r="F146" i="10"/>
  <c r="G146" i="10"/>
  <c r="A145" i="10"/>
  <c r="B145" i="10"/>
  <c r="C145" i="10"/>
  <c r="D145" i="10"/>
  <c r="E145" i="10"/>
  <c r="F145" i="10"/>
  <c r="G145" i="10"/>
  <c r="A148" i="10"/>
  <c r="B148" i="10"/>
  <c r="C148" i="10"/>
  <c r="D148" i="10"/>
  <c r="E148" i="10"/>
  <c r="F148" i="10"/>
  <c r="G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/>
  <c r="F150" i="10"/>
  <c r="G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/>
  <c r="F152" i="10"/>
  <c r="G152" i="10"/>
  <c r="A153" i="10"/>
  <c r="B153" i="10"/>
  <c r="C153" i="10"/>
  <c r="D153" i="10"/>
  <c r="E153" i="10"/>
  <c r="F153" i="10"/>
  <c r="G153" i="10"/>
  <c r="A155" i="10"/>
  <c r="B155" i="10"/>
  <c r="C155" i="10"/>
  <c r="D155" i="10"/>
  <c r="E155" i="10"/>
  <c r="F155" i="10"/>
  <c r="G155" i="10"/>
  <c r="A154" i="10"/>
  <c r="B154" i="10"/>
  <c r="C154" i="10"/>
  <c r="D154" i="10"/>
  <c r="E154" i="10"/>
  <c r="F154" i="10"/>
  <c r="G154" i="10"/>
  <c r="A157" i="10"/>
  <c r="B157" i="10"/>
  <c r="C157" i="10"/>
  <c r="D157" i="10"/>
  <c r="E157" i="10"/>
  <c r="F157" i="10"/>
  <c r="G157" i="10"/>
  <c r="A159" i="10"/>
  <c r="B159" i="10"/>
  <c r="C159" i="10"/>
  <c r="D159" i="10"/>
  <c r="E159" i="10"/>
  <c r="F159" i="10"/>
  <c r="G159" i="10"/>
  <c r="A156" i="10"/>
  <c r="B156" i="10"/>
  <c r="C156" i="10"/>
  <c r="D156" i="10"/>
  <c r="E156" i="10"/>
  <c r="F156" i="10"/>
  <c r="G156" i="10"/>
  <c r="A158" i="10"/>
  <c r="B158" i="10"/>
  <c r="C158" i="10"/>
  <c r="D158" i="10"/>
  <c r="E158" i="10"/>
  <c r="F158" i="10"/>
  <c r="G158" i="10"/>
  <c r="A161" i="10"/>
  <c r="B161" i="10"/>
  <c r="C161" i="10"/>
  <c r="D161" i="10"/>
  <c r="E161" i="10"/>
  <c r="F161" i="10"/>
  <c r="G161" i="10"/>
  <c r="A160" i="10"/>
  <c r="B160" i="10"/>
  <c r="C160" i="10"/>
  <c r="D160" i="10"/>
  <c r="E160" i="10"/>
  <c r="F160" i="10"/>
  <c r="G160" i="10"/>
  <c r="A163" i="10"/>
  <c r="B163" i="10"/>
  <c r="C163" i="10"/>
  <c r="D163" i="10"/>
  <c r="E163" i="10"/>
  <c r="F163" i="10"/>
  <c r="G163" i="10"/>
  <c r="A162" i="10"/>
  <c r="B162" i="10"/>
  <c r="C162" i="10"/>
  <c r="D162" i="10"/>
  <c r="E162" i="10"/>
  <c r="F162" i="10"/>
  <c r="G162" i="10"/>
  <c r="A164" i="10"/>
  <c r="B164" i="10"/>
  <c r="C164" i="10"/>
  <c r="D164" i="10"/>
  <c r="E164" i="10"/>
  <c r="F164" i="10"/>
  <c r="G164" i="10"/>
  <c r="A167" i="10"/>
  <c r="B167" i="10"/>
  <c r="C167" i="10"/>
  <c r="D167" i="10"/>
  <c r="E167" i="10"/>
  <c r="F167" i="10"/>
  <c r="G167" i="10"/>
  <c r="A166" i="10"/>
  <c r="B166" i="10"/>
  <c r="C166" i="10"/>
  <c r="D166" i="10"/>
  <c r="E166" i="10"/>
  <c r="F166" i="10"/>
  <c r="G166" i="10"/>
  <c r="A165" i="10"/>
  <c r="B165" i="10"/>
  <c r="C165" i="10"/>
  <c r="D165" i="10"/>
  <c r="E165" i="10"/>
  <c r="F165" i="10"/>
  <c r="G165" i="10"/>
  <c r="A171" i="10"/>
  <c r="B171" i="10"/>
  <c r="C171" i="10"/>
  <c r="D171" i="10"/>
  <c r="E171" i="10"/>
  <c r="F171" i="10"/>
  <c r="G171" i="10"/>
  <c r="A168" i="10"/>
  <c r="B168" i="10"/>
  <c r="C168" i="10"/>
  <c r="D168" i="10"/>
  <c r="E168" i="10"/>
  <c r="F168" i="10"/>
  <c r="G168" i="10"/>
  <c r="A169" i="10"/>
  <c r="B169" i="10"/>
  <c r="C169" i="10"/>
  <c r="D169" i="10"/>
  <c r="E169" i="10"/>
  <c r="F169" i="10"/>
  <c r="G169" i="10"/>
  <c r="A170" i="10"/>
  <c r="B170" i="10"/>
  <c r="C170" i="10"/>
  <c r="D170" i="10"/>
  <c r="E170" i="10"/>
  <c r="F170" i="10"/>
  <c r="G170" i="10"/>
  <c r="A173" i="10"/>
  <c r="B173" i="10"/>
  <c r="C173" i="10"/>
  <c r="D173" i="10"/>
  <c r="E173" i="10"/>
  <c r="F173" i="10"/>
  <c r="G173" i="10"/>
  <c r="A172" i="10"/>
  <c r="B172" i="10"/>
  <c r="C172" i="10"/>
  <c r="D172" i="10"/>
  <c r="E172" i="10"/>
  <c r="F172" i="10"/>
  <c r="G172" i="10"/>
  <c r="A175" i="10"/>
  <c r="B175" i="10"/>
  <c r="C175" i="10"/>
  <c r="D175" i="10"/>
  <c r="E175" i="10"/>
  <c r="F175" i="10"/>
  <c r="G175" i="10"/>
  <c r="A174" i="10"/>
  <c r="B174" i="10"/>
  <c r="C174" i="10"/>
  <c r="D174" i="10"/>
  <c r="E174" i="10"/>
  <c r="F174" i="10"/>
  <c r="G174" i="10"/>
  <c r="A179" i="10"/>
  <c r="B179" i="10"/>
  <c r="C179" i="10"/>
  <c r="D179" i="10"/>
  <c r="E179" i="10"/>
  <c r="F179" i="10"/>
  <c r="G179" i="10"/>
  <c r="A176" i="10"/>
  <c r="B176" i="10"/>
  <c r="C176" i="10"/>
  <c r="D176" i="10"/>
  <c r="E176" i="10"/>
  <c r="F176" i="10"/>
  <c r="G176" i="10"/>
  <c r="A177" i="10"/>
  <c r="B177" i="10"/>
  <c r="C177" i="10"/>
  <c r="D177" i="10"/>
  <c r="E177" i="10"/>
  <c r="F177" i="10"/>
  <c r="G177" i="10"/>
  <c r="A178" i="10"/>
  <c r="B178" i="10"/>
  <c r="C178" i="10"/>
  <c r="D178" i="10"/>
  <c r="E178" i="10"/>
  <c r="F178" i="10"/>
  <c r="G178" i="10"/>
  <c r="A180" i="10"/>
  <c r="B180" i="10"/>
  <c r="C180" i="10"/>
  <c r="D180" i="10"/>
  <c r="E180" i="10"/>
  <c r="F180" i="10"/>
  <c r="G180" i="10"/>
  <c r="A183" i="10"/>
  <c r="B183" i="10"/>
  <c r="C183" i="10"/>
  <c r="D183" i="10"/>
  <c r="E183" i="10"/>
  <c r="F183" i="10"/>
  <c r="G183" i="10"/>
  <c r="A181" i="10"/>
  <c r="B181" i="10"/>
  <c r="C181" i="10"/>
  <c r="D181" i="10"/>
  <c r="E181" i="10"/>
  <c r="F181" i="10"/>
  <c r="G181" i="10"/>
  <c r="A182" i="10"/>
  <c r="B182" i="10"/>
  <c r="C182" i="10"/>
  <c r="D182" i="10"/>
  <c r="E182" i="10"/>
  <c r="F182" i="10"/>
  <c r="G182" i="10"/>
  <c r="A185" i="10"/>
  <c r="B185" i="10"/>
  <c r="C185" i="10"/>
  <c r="D185" i="10"/>
  <c r="E185" i="10"/>
  <c r="F185" i="10"/>
  <c r="G185" i="10"/>
  <c r="A187" i="10"/>
  <c r="B187" i="10"/>
  <c r="C187" i="10"/>
  <c r="D187" i="10"/>
  <c r="E187" i="10"/>
  <c r="F187" i="10"/>
  <c r="G187" i="10"/>
  <c r="A186" i="10"/>
  <c r="B186" i="10"/>
  <c r="C186" i="10"/>
  <c r="D186" i="10"/>
  <c r="E186" i="10"/>
  <c r="F186" i="10"/>
  <c r="G186" i="10"/>
  <c r="A184" i="10"/>
  <c r="B184" i="10"/>
  <c r="C184" i="10"/>
  <c r="D184" i="10"/>
  <c r="E184" i="10"/>
  <c r="F184" i="10"/>
  <c r="G184" i="10"/>
  <c r="A188" i="10"/>
  <c r="B188" i="10"/>
  <c r="C188" i="10"/>
  <c r="D188" i="10"/>
  <c r="E188" i="10"/>
  <c r="F188" i="10"/>
  <c r="G188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/>
  <c r="F191" i="10"/>
  <c r="G191" i="10"/>
  <c r="A189" i="10"/>
  <c r="B189" i="10"/>
  <c r="C189" i="10"/>
  <c r="D189" i="10"/>
  <c r="E189" i="10"/>
  <c r="F189" i="10"/>
  <c r="G189" i="10"/>
  <c r="A195" i="10"/>
  <c r="B195" i="10"/>
  <c r="C195" i="10"/>
  <c r="D195" i="10"/>
  <c r="E195" i="10"/>
  <c r="F195" i="10"/>
  <c r="G195" i="10"/>
  <c r="A194" i="10"/>
  <c r="B194" i="10"/>
  <c r="C194" i="10"/>
  <c r="D194" i="10"/>
  <c r="E194" i="10"/>
  <c r="F194" i="10"/>
  <c r="G194" i="10"/>
  <c r="A193" i="10"/>
  <c r="B193" i="10"/>
  <c r="C193" i="10"/>
  <c r="D193" i="10"/>
  <c r="E193" i="10"/>
  <c r="F193" i="10"/>
  <c r="G193" i="10"/>
  <c r="A192" i="10"/>
  <c r="B192" i="10"/>
  <c r="C192" i="10"/>
  <c r="D192" i="10"/>
  <c r="E192" i="10"/>
  <c r="F192" i="10"/>
  <c r="G192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/>
  <c r="F198" i="10"/>
  <c r="G198" i="10"/>
  <c r="A199" i="10"/>
  <c r="B199" i="10"/>
  <c r="C199" i="10"/>
  <c r="D199" i="10"/>
  <c r="E199" i="10"/>
  <c r="F199" i="10"/>
  <c r="G199" i="10"/>
  <c r="A196" i="10"/>
  <c r="B196" i="10"/>
  <c r="C196" i="10"/>
  <c r="D196" i="10"/>
  <c r="E196" i="10"/>
  <c r="F196" i="10"/>
  <c r="G196" i="10"/>
  <c r="A202" i="10"/>
  <c r="B202" i="10"/>
  <c r="C202" i="10"/>
  <c r="D202" i="10"/>
  <c r="E202" i="10"/>
  <c r="F202" i="10"/>
  <c r="G202" i="10"/>
  <c r="A200" i="10"/>
  <c r="B200" i="10"/>
  <c r="C200" i="10"/>
  <c r="D200" i="10"/>
  <c r="E200" i="10"/>
  <c r="F200" i="10"/>
  <c r="G200" i="10"/>
  <c r="A201" i="10"/>
  <c r="B201" i="10"/>
  <c r="C201" i="10"/>
  <c r="D201" i="10"/>
  <c r="E201" i="10"/>
  <c r="F201" i="10"/>
  <c r="G201" i="10"/>
  <c r="A203" i="10"/>
  <c r="B203" i="10"/>
  <c r="C203" i="10"/>
  <c r="D203" i="10"/>
  <c r="E203" i="10"/>
  <c r="F203" i="10"/>
  <c r="G203" i="10"/>
  <c r="A206" i="10"/>
  <c r="B206" i="10"/>
  <c r="C206" i="10"/>
  <c r="D206" i="10"/>
  <c r="E206" i="10"/>
  <c r="F206" i="10"/>
  <c r="G206" i="10"/>
  <c r="A207" i="10"/>
  <c r="B207" i="10"/>
  <c r="C207" i="10"/>
  <c r="D207" i="10"/>
  <c r="E207" i="10"/>
  <c r="F207" i="10"/>
  <c r="G207" i="10"/>
  <c r="A204" i="10"/>
  <c r="B204" i="10"/>
  <c r="C204" i="10"/>
  <c r="D204" i="10"/>
  <c r="E204" i="10"/>
  <c r="F204" i="10"/>
  <c r="G204" i="10"/>
  <c r="A205" i="10"/>
  <c r="B205" i="10"/>
  <c r="C205" i="10"/>
  <c r="D205" i="10"/>
  <c r="E205" i="10"/>
  <c r="F205" i="10"/>
  <c r="G205" i="10"/>
  <c r="A210" i="10"/>
  <c r="B210" i="10"/>
  <c r="C210" i="10"/>
  <c r="D210" i="10"/>
  <c r="E210" i="10"/>
  <c r="F210" i="10"/>
  <c r="G210" i="10"/>
  <c r="A211" i="10"/>
  <c r="B211" i="10"/>
  <c r="C211" i="10"/>
  <c r="D211" i="10"/>
  <c r="E211" i="10"/>
  <c r="F211" i="10"/>
  <c r="G211" i="10"/>
  <c r="A209" i="10"/>
  <c r="B209" i="10"/>
  <c r="C209" i="10"/>
  <c r="D209" i="10"/>
  <c r="E209" i="10"/>
  <c r="F209" i="10"/>
  <c r="G209" i="10"/>
  <c r="A208" i="10"/>
  <c r="B208" i="10"/>
  <c r="C208" i="10"/>
  <c r="D208" i="10"/>
  <c r="E208" i="10"/>
  <c r="F208" i="10"/>
  <c r="G208" i="10"/>
  <c r="A215" i="10"/>
  <c r="B215" i="10"/>
  <c r="C215" i="10"/>
  <c r="D215" i="10"/>
  <c r="E215" i="10"/>
  <c r="F215" i="10"/>
  <c r="G215" i="10"/>
  <c r="A212" i="10"/>
  <c r="B212" i="10"/>
  <c r="C212" i="10"/>
  <c r="D212" i="10"/>
  <c r="E212" i="10"/>
  <c r="F212" i="10"/>
  <c r="G212" i="10"/>
  <c r="A213" i="10"/>
  <c r="B213" i="10"/>
  <c r="C213" i="10"/>
  <c r="D213" i="10"/>
  <c r="E213" i="10"/>
  <c r="F213" i="10"/>
  <c r="G213" i="10"/>
  <c r="A214" i="10"/>
  <c r="B214" i="10"/>
  <c r="C214" i="10"/>
  <c r="D214" i="10"/>
  <c r="E214" i="10"/>
  <c r="F214" i="10"/>
  <c r="G214" i="10"/>
  <c r="A218" i="10"/>
  <c r="B218" i="10"/>
  <c r="C218" i="10"/>
  <c r="D218" i="10"/>
  <c r="E218" i="10"/>
  <c r="F218" i="10"/>
  <c r="G218" i="10"/>
  <c r="A219" i="10"/>
  <c r="B219" i="10"/>
  <c r="C219" i="10"/>
  <c r="D219" i="10"/>
  <c r="E219" i="10"/>
  <c r="F219" i="10"/>
  <c r="G219" i="10"/>
  <c r="A216" i="10"/>
  <c r="B216" i="10"/>
  <c r="C216" i="10"/>
  <c r="D216" i="10"/>
  <c r="E216" i="10"/>
  <c r="F216" i="10"/>
  <c r="G216" i="10"/>
  <c r="A217" i="10"/>
  <c r="B217" i="10"/>
  <c r="C217" i="10"/>
  <c r="D217" i="10"/>
  <c r="E217" i="10"/>
  <c r="F217" i="10"/>
  <c r="G217" i="10"/>
  <c r="A222" i="10"/>
  <c r="B222" i="10"/>
  <c r="C222" i="10"/>
  <c r="D222" i="10"/>
  <c r="E222" i="10"/>
  <c r="F222" i="10"/>
  <c r="G222" i="10"/>
  <c r="A220" i="10"/>
  <c r="B220" i="10"/>
  <c r="C220" i="10"/>
  <c r="D220" i="10"/>
  <c r="E220" i="10"/>
  <c r="F220" i="10"/>
  <c r="G220" i="10"/>
  <c r="A223" i="10"/>
  <c r="B223" i="10"/>
  <c r="C223" i="10"/>
  <c r="D223" i="10"/>
  <c r="E223" i="10"/>
  <c r="F223" i="10"/>
  <c r="G223" i="10"/>
  <c r="A221" i="10"/>
  <c r="B221" i="10"/>
  <c r="C221" i="10"/>
  <c r="D221" i="10"/>
  <c r="E221" i="10"/>
  <c r="F221" i="10"/>
  <c r="G221" i="10"/>
  <c r="A227" i="10"/>
  <c r="B227" i="10"/>
  <c r="C227" i="10"/>
  <c r="D227" i="10"/>
  <c r="E227" i="10"/>
  <c r="F227" i="10"/>
  <c r="G227" i="10"/>
  <c r="A226" i="10"/>
  <c r="B226" i="10"/>
  <c r="C226" i="10"/>
  <c r="D226" i="10"/>
  <c r="E226" i="10"/>
  <c r="F226" i="10"/>
  <c r="G226" i="10"/>
  <c r="A225" i="10"/>
  <c r="B225" i="10"/>
  <c r="C225" i="10"/>
  <c r="D225" i="10"/>
  <c r="E225" i="10"/>
  <c r="F225" i="10"/>
  <c r="G225" i="10"/>
  <c r="A224" i="10"/>
  <c r="B224" i="10"/>
  <c r="C224" i="10"/>
  <c r="D224" i="10"/>
  <c r="E224" i="10"/>
  <c r="F224" i="10"/>
  <c r="G224" i="10"/>
  <c r="A231" i="10"/>
  <c r="B231" i="10"/>
  <c r="C231" i="10"/>
  <c r="D231" i="10"/>
  <c r="E231" i="10"/>
  <c r="F231" i="10"/>
  <c r="G231" i="10"/>
  <c r="A229" i="10"/>
  <c r="B229" i="10"/>
  <c r="C229" i="10"/>
  <c r="D229" i="10"/>
  <c r="E229" i="10"/>
  <c r="F229" i="10"/>
  <c r="G229" i="10"/>
  <c r="A228" i="10"/>
  <c r="B228" i="10"/>
  <c r="C228" i="10"/>
  <c r="D228" i="10"/>
  <c r="E228" i="10"/>
  <c r="F228" i="10"/>
  <c r="G228" i="10"/>
  <c r="A230" i="10"/>
  <c r="B230" i="10"/>
  <c r="C230" i="10"/>
  <c r="D230" i="10"/>
  <c r="E230" i="10"/>
  <c r="F230" i="10"/>
  <c r="G230" i="10"/>
  <c r="A232" i="10"/>
  <c r="B232" i="10"/>
  <c r="C232" i="10"/>
  <c r="D232" i="10"/>
  <c r="E232" i="10"/>
  <c r="F232" i="10"/>
  <c r="G232" i="10"/>
  <c r="A235" i="10"/>
  <c r="B235" i="10"/>
  <c r="C235" i="10"/>
  <c r="D235" i="10"/>
  <c r="E235" i="10"/>
  <c r="F235" i="10"/>
  <c r="G235" i="10"/>
  <c r="A233" i="10"/>
  <c r="B233" i="10"/>
  <c r="C233" i="10"/>
  <c r="D233" i="10"/>
  <c r="E233" i="10"/>
  <c r="F233" i="10"/>
  <c r="G233" i="10"/>
  <c r="A234" i="10"/>
  <c r="B234" i="10"/>
  <c r="C234" i="10"/>
  <c r="D234" i="10"/>
  <c r="E234" i="10"/>
  <c r="F234" i="10"/>
  <c r="G234" i="10"/>
  <c r="A238" i="10"/>
  <c r="B238" i="10"/>
  <c r="C238" i="10"/>
  <c r="D238" i="10"/>
  <c r="E238" i="10"/>
  <c r="F238" i="10"/>
  <c r="G238" i="10"/>
  <c r="A239" i="10"/>
  <c r="B239" i="10"/>
  <c r="C239" i="10"/>
  <c r="D239" i="10"/>
  <c r="E239" i="10"/>
  <c r="F239" i="10"/>
  <c r="G239" i="10"/>
  <c r="A237" i="10"/>
  <c r="B237" i="10"/>
  <c r="C237" i="10"/>
  <c r="D237" i="10"/>
  <c r="E237" i="10"/>
  <c r="F237" i="10"/>
  <c r="G237" i="10"/>
  <c r="A236" i="10"/>
  <c r="B236" i="10"/>
  <c r="C236" i="10"/>
  <c r="D236" i="10"/>
  <c r="E236" i="10"/>
  <c r="F236" i="10"/>
  <c r="G236" i="10"/>
  <c r="A240" i="10"/>
  <c r="B240" i="10"/>
  <c r="C240" i="10"/>
  <c r="D240" i="10"/>
  <c r="E240" i="10"/>
  <c r="F240" i="10"/>
  <c r="G240" i="10"/>
  <c r="A241" i="10"/>
  <c r="B241" i="10"/>
  <c r="C241" i="10"/>
  <c r="D241" i="10"/>
  <c r="E241" i="10"/>
  <c r="F241" i="10"/>
  <c r="G241" i="10"/>
  <c r="A242" i="10"/>
  <c r="B242" i="10"/>
  <c r="C242" i="10"/>
  <c r="D242" i="10"/>
  <c r="E242" i="10"/>
  <c r="F242" i="10"/>
  <c r="G242" i="10"/>
  <c r="A243" i="10"/>
  <c r="B243" i="10"/>
  <c r="C243" i="10"/>
  <c r="D243" i="10"/>
  <c r="E243" i="10"/>
  <c r="F243" i="10"/>
  <c r="G243" i="10"/>
  <c r="A247" i="10"/>
  <c r="B247" i="10"/>
  <c r="C247" i="10"/>
  <c r="D247" i="10"/>
  <c r="E247" i="10"/>
  <c r="F247" i="10"/>
  <c r="G247" i="10"/>
  <c r="A246" i="10"/>
  <c r="B246" i="10"/>
  <c r="C246" i="10"/>
  <c r="D246" i="10"/>
  <c r="E246" i="10"/>
  <c r="F246" i="10"/>
  <c r="G246" i="10"/>
  <c r="A245" i="10"/>
  <c r="B245" i="10"/>
  <c r="C245" i="10"/>
  <c r="D245" i="10"/>
  <c r="E245" i="10"/>
  <c r="F245" i="10"/>
  <c r="G245" i="10"/>
  <c r="A244" i="10"/>
  <c r="B244" i="10"/>
  <c r="C244" i="10"/>
  <c r="D244" i="10"/>
  <c r="E244" i="10"/>
  <c r="F244" i="10"/>
  <c r="G244" i="10"/>
  <c r="A251" i="10"/>
  <c r="B251" i="10"/>
  <c r="C251" i="10"/>
  <c r="D251" i="10"/>
  <c r="E251" i="10"/>
  <c r="F251" i="10"/>
  <c r="G251" i="10"/>
  <c r="A250" i="10"/>
  <c r="B250" i="10"/>
  <c r="C250" i="10"/>
  <c r="D250" i="10"/>
  <c r="E250" i="10"/>
  <c r="F250" i="10"/>
  <c r="G250" i="10"/>
  <c r="A248" i="10"/>
  <c r="B248" i="10"/>
  <c r="C248" i="10"/>
  <c r="D248" i="10"/>
  <c r="E248" i="10"/>
  <c r="F248" i="10"/>
  <c r="G248" i="10"/>
  <c r="A249" i="10"/>
  <c r="B249" i="10"/>
  <c r="C249" i="10"/>
  <c r="D249" i="10"/>
  <c r="E249" i="10"/>
  <c r="F249" i="10"/>
  <c r="G249" i="10"/>
  <c r="A254" i="10"/>
  <c r="B254" i="10"/>
  <c r="C254" i="10"/>
  <c r="D254" i="10"/>
  <c r="E254" i="10"/>
  <c r="F254" i="10"/>
  <c r="G254" i="10"/>
  <c r="A252" i="10"/>
  <c r="B252" i="10"/>
  <c r="C252" i="10"/>
  <c r="D252" i="10"/>
  <c r="E252" i="10"/>
  <c r="F252" i="10"/>
  <c r="G252" i="10"/>
  <c r="A253" i="10"/>
  <c r="B253" i="10"/>
  <c r="C253" i="10"/>
  <c r="D253" i="10"/>
  <c r="E253" i="10"/>
  <c r="F253" i="10"/>
  <c r="G253" i="10"/>
  <c r="A255" i="10"/>
  <c r="B255" i="10"/>
  <c r="C255" i="10"/>
  <c r="D255" i="10"/>
  <c r="E255" i="10"/>
  <c r="F255" i="10"/>
  <c r="G255" i="10"/>
  <c r="A257" i="10"/>
  <c r="B257" i="10"/>
  <c r="C257" i="10"/>
  <c r="D257" i="10"/>
  <c r="E257" i="10"/>
  <c r="F257" i="10"/>
  <c r="G257" i="10"/>
  <c r="A259" i="10"/>
  <c r="B259" i="10"/>
  <c r="C259" i="10"/>
  <c r="D259" i="10"/>
  <c r="E259" i="10"/>
  <c r="F259" i="10"/>
  <c r="G259" i="10"/>
  <c r="A258" i="10"/>
  <c r="B258" i="10"/>
  <c r="C258" i="10"/>
  <c r="D258" i="10"/>
  <c r="E258" i="10"/>
  <c r="F258" i="10"/>
  <c r="G258" i="10"/>
  <c r="A256" i="10"/>
  <c r="B256" i="10"/>
  <c r="C256" i="10"/>
  <c r="D256" i="10"/>
  <c r="E256" i="10"/>
  <c r="F256" i="10"/>
  <c r="G256" i="10"/>
  <c r="A263" i="10"/>
  <c r="B263" i="10"/>
  <c r="C263" i="10"/>
  <c r="D263" i="10"/>
  <c r="E263" i="10"/>
  <c r="F263" i="10"/>
  <c r="G263" i="10"/>
  <c r="A261" i="10"/>
  <c r="B261" i="10"/>
  <c r="C261" i="10"/>
  <c r="D261" i="10"/>
  <c r="E261" i="10"/>
  <c r="F261" i="10"/>
  <c r="G261" i="10"/>
  <c r="A260" i="10"/>
  <c r="B260" i="10"/>
  <c r="C260" i="10"/>
  <c r="D260" i="10"/>
  <c r="E260" i="10"/>
  <c r="F260" i="10"/>
  <c r="G260" i="10"/>
  <c r="A262" i="10"/>
  <c r="B262" i="10"/>
  <c r="C262" i="10"/>
  <c r="D262" i="10"/>
  <c r="E262" i="10"/>
  <c r="F262" i="10"/>
  <c r="G262" i="10"/>
  <c r="A265" i="10"/>
  <c r="B265" i="10"/>
  <c r="C265" i="10"/>
  <c r="D265" i="10"/>
  <c r="E265" i="10"/>
  <c r="F265" i="10"/>
  <c r="G265" i="10"/>
  <c r="A264" i="10"/>
  <c r="B264" i="10"/>
  <c r="C264" i="10"/>
  <c r="D264" i="10"/>
  <c r="E264" i="10"/>
  <c r="F264" i="10"/>
  <c r="G264" i="10"/>
  <c r="A267" i="10"/>
  <c r="B267" i="10"/>
  <c r="C267" i="10"/>
  <c r="D267" i="10"/>
  <c r="E267" i="10"/>
  <c r="F267" i="10"/>
  <c r="G267" i="10"/>
  <c r="A266" i="10"/>
  <c r="B266" i="10"/>
  <c r="C266" i="10"/>
  <c r="D266" i="10"/>
  <c r="E266" i="10"/>
  <c r="F266" i="10"/>
  <c r="G266" i="10"/>
  <c r="A268" i="10"/>
  <c r="B268" i="10"/>
  <c r="C268" i="10"/>
  <c r="D268" i="10"/>
  <c r="E268" i="10"/>
  <c r="F268" i="10"/>
  <c r="G268" i="10"/>
  <c r="A271" i="10"/>
  <c r="B271" i="10"/>
  <c r="C271" i="10"/>
  <c r="D271" i="10"/>
  <c r="E271" i="10"/>
  <c r="F271" i="10"/>
  <c r="G271" i="10"/>
  <c r="A269" i="10"/>
  <c r="B269" i="10"/>
  <c r="C269" i="10"/>
  <c r="D269" i="10"/>
  <c r="E269" i="10"/>
  <c r="F269" i="10"/>
  <c r="G269" i="10"/>
  <c r="A270" i="10"/>
  <c r="B270" i="10"/>
  <c r="C270" i="10"/>
  <c r="D270" i="10"/>
  <c r="E270" i="10"/>
  <c r="F270" i="10"/>
  <c r="G270" i="10"/>
  <c r="A272" i="10"/>
  <c r="B272" i="10"/>
  <c r="C272" i="10"/>
  <c r="D272" i="10"/>
  <c r="E272" i="10"/>
  <c r="F272" i="10"/>
  <c r="G272" i="10"/>
  <c r="A275" i="10"/>
  <c r="B275" i="10"/>
  <c r="C275" i="10"/>
  <c r="D275" i="10"/>
  <c r="E275" i="10"/>
  <c r="F275" i="10"/>
  <c r="G275" i="10"/>
  <c r="A274" i="10"/>
  <c r="B274" i="10"/>
  <c r="C274" i="10"/>
  <c r="D274" i="10"/>
  <c r="E274" i="10"/>
  <c r="F274" i="10"/>
  <c r="G274" i="10"/>
  <c r="A273" i="10"/>
  <c r="B273" i="10"/>
  <c r="C273" i="10"/>
  <c r="D273" i="10"/>
  <c r="E273" i="10"/>
  <c r="F273" i="10"/>
  <c r="G273" i="10"/>
  <c r="A277" i="10"/>
  <c r="B277" i="10"/>
  <c r="C277" i="10"/>
  <c r="D277" i="10"/>
  <c r="E277" i="10"/>
  <c r="F277" i="10"/>
  <c r="G277" i="10"/>
  <c r="A278" i="10"/>
  <c r="B278" i="10"/>
  <c r="C278" i="10"/>
  <c r="D278" i="10"/>
  <c r="E278" i="10"/>
  <c r="F278" i="10"/>
  <c r="G278" i="10"/>
  <c r="A276" i="10"/>
  <c r="B276" i="10"/>
  <c r="C276" i="10"/>
  <c r="D276" i="10"/>
  <c r="E276" i="10"/>
  <c r="F276" i="10"/>
  <c r="G276" i="10"/>
  <c r="A279" i="10"/>
  <c r="B279" i="10"/>
  <c r="C279" i="10"/>
  <c r="D279" i="10"/>
  <c r="E279" i="10"/>
  <c r="F279" i="10"/>
  <c r="G279" i="10"/>
  <c r="A280" i="10"/>
  <c r="B280" i="10"/>
  <c r="C280" i="10"/>
  <c r="D280" i="10"/>
  <c r="E280" i="10"/>
  <c r="F280" i="10"/>
  <c r="G280" i="10"/>
  <c r="A283" i="10"/>
  <c r="B283" i="10"/>
  <c r="C283" i="10"/>
  <c r="D283" i="10"/>
  <c r="E283" i="10"/>
  <c r="F283" i="10"/>
  <c r="G283" i="10"/>
  <c r="A282" i="10"/>
  <c r="B282" i="10"/>
  <c r="C282" i="10"/>
  <c r="D282" i="10"/>
  <c r="E282" i="10"/>
  <c r="F282" i="10"/>
  <c r="G282" i="10"/>
  <c r="A281" i="10"/>
  <c r="B281" i="10"/>
  <c r="C281" i="10"/>
  <c r="D281" i="10"/>
  <c r="E281" i="10"/>
  <c r="F281" i="10"/>
  <c r="G281" i="10"/>
  <c r="A284" i="10"/>
  <c r="B284" i="10"/>
  <c r="C284" i="10"/>
  <c r="D284" i="10"/>
  <c r="E284" i="10"/>
  <c r="F284" i="10"/>
  <c r="G284" i="10"/>
  <c r="A285" i="10"/>
  <c r="B285" i="10"/>
  <c r="C285" i="10"/>
  <c r="D285" i="10"/>
  <c r="E285" i="10"/>
  <c r="F285" i="10"/>
  <c r="G285" i="10"/>
  <c r="A287" i="10"/>
  <c r="B287" i="10"/>
  <c r="C287" i="10"/>
  <c r="D287" i="10"/>
  <c r="E287" i="10"/>
  <c r="F287" i="10"/>
  <c r="G287" i="10"/>
  <c r="A286" i="10"/>
  <c r="B286" i="10"/>
  <c r="C286" i="10"/>
  <c r="D286" i="10"/>
  <c r="E286" i="10"/>
  <c r="F286" i="10"/>
  <c r="G286" i="10"/>
  <c r="A288" i="10"/>
  <c r="B288" i="10"/>
  <c r="C288" i="10"/>
  <c r="D288" i="10"/>
  <c r="E288" i="10"/>
  <c r="F288" i="10"/>
  <c r="G288" i="10"/>
  <c r="A290" i="10"/>
  <c r="B290" i="10"/>
  <c r="C290" i="10"/>
  <c r="D290" i="10"/>
  <c r="E290" i="10"/>
  <c r="F290" i="10"/>
  <c r="G290" i="10"/>
  <c r="A291" i="10"/>
  <c r="B291" i="10"/>
  <c r="C291" i="10"/>
  <c r="D291" i="10"/>
  <c r="E291" i="10"/>
  <c r="F291" i="10"/>
  <c r="G291" i="10"/>
  <c r="A289" i="10"/>
  <c r="B289" i="10"/>
  <c r="C289" i="10"/>
  <c r="D289" i="10"/>
  <c r="E289" i="10"/>
  <c r="F289" i="10"/>
  <c r="G289" i="10"/>
  <c r="A294" i="10"/>
  <c r="B294" i="10"/>
  <c r="C294" i="10"/>
  <c r="D294" i="10"/>
  <c r="E294" i="10"/>
  <c r="F294" i="10"/>
  <c r="G294" i="10"/>
  <c r="A292" i="10"/>
  <c r="B292" i="10"/>
  <c r="C292" i="10"/>
  <c r="D292" i="10"/>
  <c r="E292" i="10"/>
  <c r="F292" i="10"/>
  <c r="G292" i="10"/>
  <c r="A295" i="10"/>
  <c r="B295" i="10"/>
  <c r="C295" i="10"/>
  <c r="D295" i="10"/>
  <c r="E295" i="10"/>
  <c r="F295" i="10"/>
  <c r="G295" i="10"/>
  <c r="A293" i="10"/>
  <c r="B293" i="10"/>
  <c r="C293" i="10"/>
  <c r="D293" i="10"/>
  <c r="E293" i="10"/>
  <c r="F293" i="10"/>
  <c r="G293" i="10"/>
  <c r="A296" i="10"/>
  <c r="B296" i="10"/>
  <c r="C296" i="10"/>
  <c r="D296" i="10"/>
  <c r="E296" i="10"/>
  <c r="F296" i="10"/>
  <c r="G296" i="10"/>
  <c r="A298" i="10"/>
  <c r="B298" i="10"/>
  <c r="C298" i="10"/>
  <c r="D298" i="10"/>
  <c r="E298" i="10"/>
  <c r="F298" i="10"/>
  <c r="G298" i="10"/>
  <c r="A297" i="10"/>
  <c r="B297" i="10"/>
  <c r="C297" i="10"/>
  <c r="D297" i="10"/>
  <c r="E297" i="10"/>
  <c r="F297" i="10"/>
  <c r="G297" i="10"/>
  <c r="A299" i="10"/>
  <c r="B299" i="10"/>
  <c r="C299" i="10"/>
  <c r="D299" i="10"/>
  <c r="E299" i="10"/>
  <c r="F299" i="10"/>
  <c r="G299" i="10"/>
  <c r="A302" i="10"/>
  <c r="B302" i="10"/>
  <c r="C302" i="10"/>
  <c r="D302" i="10"/>
  <c r="E302" i="10"/>
  <c r="F302" i="10"/>
  <c r="G302" i="10"/>
  <c r="A303" i="10"/>
  <c r="B303" i="10"/>
  <c r="C303" i="10"/>
  <c r="D303" i="10"/>
  <c r="E303" i="10"/>
  <c r="F303" i="10"/>
  <c r="G303" i="10"/>
  <c r="A301" i="10"/>
  <c r="B301" i="10"/>
  <c r="C301" i="10"/>
  <c r="D301" i="10"/>
  <c r="E301" i="10"/>
  <c r="F301" i="10"/>
  <c r="G301" i="10"/>
  <c r="A300" i="10"/>
  <c r="B300" i="10"/>
  <c r="C300" i="10"/>
  <c r="D300" i="10"/>
  <c r="E300" i="10"/>
  <c r="F300" i="10"/>
  <c r="G300" i="10"/>
  <c r="A304" i="10"/>
  <c r="B304" i="10"/>
  <c r="C304" i="10"/>
  <c r="D304" i="10"/>
  <c r="E304" i="10"/>
  <c r="F304" i="10"/>
  <c r="G304" i="10"/>
  <c r="A305" i="10"/>
  <c r="B305" i="10"/>
  <c r="C305" i="10"/>
  <c r="D305" i="10"/>
  <c r="E305" i="10"/>
  <c r="F305" i="10"/>
  <c r="G305" i="10"/>
  <c r="A306" i="10"/>
  <c r="B306" i="10"/>
  <c r="C306" i="10"/>
  <c r="D306" i="10"/>
  <c r="E306" i="10"/>
  <c r="F306" i="10"/>
  <c r="G306" i="10"/>
  <c r="A307" i="10"/>
  <c r="B307" i="10"/>
  <c r="C307" i="10"/>
  <c r="D307" i="10"/>
  <c r="E307" i="10"/>
  <c r="F307" i="10"/>
  <c r="G307" i="10"/>
  <c r="A310" i="10"/>
  <c r="B310" i="10"/>
  <c r="C310" i="10"/>
  <c r="D310" i="10"/>
  <c r="E310" i="10"/>
  <c r="F310" i="10"/>
  <c r="G310" i="10"/>
  <c r="A308" i="10"/>
  <c r="B308" i="10"/>
  <c r="C308" i="10"/>
  <c r="D308" i="10"/>
  <c r="E308" i="10"/>
  <c r="F308" i="10"/>
  <c r="G308" i="10"/>
  <c r="A311" i="10"/>
  <c r="B311" i="10"/>
  <c r="C311" i="10"/>
  <c r="D311" i="10"/>
  <c r="E311" i="10"/>
  <c r="F311" i="10"/>
  <c r="G311" i="10"/>
  <c r="A309" i="10"/>
  <c r="B309" i="10"/>
  <c r="C309" i="10"/>
  <c r="D309" i="10"/>
  <c r="E309" i="10"/>
  <c r="F309" i="10"/>
  <c r="G309" i="10"/>
  <c r="A313" i="10"/>
  <c r="B313" i="10"/>
  <c r="C313" i="10"/>
  <c r="D313" i="10"/>
  <c r="E313" i="10"/>
  <c r="F313" i="10"/>
  <c r="G313" i="10"/>
  <c r="A312" i="10"/>
  <c r="B312" i="10"/>
  <c r="C312" i="10"/>
  <c r="D312" i="10"/>
  <c r="E312" i="10"/>
  <c r="F312" i="10"/>
  <c r="G312" i="10"/>
  <c r="A314" i="10"/>
  <c r="B314" i="10"/>
  <c r="C314" i="10"/>
  <c r="D314" i="10"/>
  <c r="E314" i="10"/>
  <c r="F314" i="10"/>
  <c r="G314" i="10"/>
  <c r="A315" i="10"/>
  <c r="B315" i="10"/>
  <c r="C315" i="10"/>
  <c r="D315" i="10"/>
  <c r="E315" i="10"/>
  <c r="F315" i="10"/>
  <c r="G315" i="10"/>
  <c r="A317" i="10"/>
  <c r="B317" i="10"/>
  <c r="C317" i="10"/>
  <c r="D317" i="10"/>
  <c r="E317" i="10"/>
  <c r="F317" i="10"/>
  <c r="G317" i="10"/>
  <c r="A316" i="10"/>
  <c r="B316" i="10"/>
  <c r="C316" i="10"/>
  <c r="D316" i="10"/>
  <c r="E316" i="10"/>
  <c r="F316" i="10"/>
  <c r="G316" i="10"/>
  <c r="A318" i="10"/>
  <c r="B318" i="10"/>
  <c r="C318" i="10"/>
  <c r="D318" i="10"/>
  <c r="E318" i="10"/>
  <c r="F318" i="10"/>
  <c r="G318" i="10"/>
  <c r="A319" i="10"/>
  <c r="B319" i="10"/>
  <c r="C319" i="10"/>
  <c r="D319" i="10"/>
  <c r="E319" i="10"/>
  <c r="F319" i="10"/>
  <c r="G319" i="10"/>
  <c r="A320" i="10"/>
  <c r="B320" i="10"/>
  <c r="C320" i="10"/>
  <c r="D320" i="10"/>
  <c r="E320" i="10"/>
  <c r="F320" i="10"/>
  <c r="G320" i="10"/>
  <c r="A323" i="10"/>
  <c r="B323" i="10"/>
  <c r="C323" i="10"/>
  <c r="D323" i="10"/>
  <c r="E323" i="10"/>
  <c r="F323" i="10"/>
  <c r="G323" i="10"/>
  <c r="A322" i="10"/>
  <c r="B322" i="10"/>
  <c r="C322" i="10"/>
  <c r="D322" i="10"/>
  <c r="E322" i="10"/>
  <c r="F322" i="10"/>
  <c r="G322" i="10"/>
  <c r="A321" i="10"/>
  <c r="B321" i="10"/>
  <c r="C321" i="10"/>
  <c r="D321" i="10"/>
  <c r="E321" i="10"/>
  <c r="F321" i="10"/>
  <c r="G321" i="10"/>
  <c r="B7" i="10"/>
  <c r="G7" i="10"/>
  <c r="F7" i="10"/>
  <c r="E7" i="10"/>
  <c r="D7" i="10"/>
  <c r="C7" i="10"/>
  <c r="A7" i="10"/>
  <c r="J3" i="6"/>
  <c r="J4" i="6"/>
  <c r="J5" i="6"/>
  <c r="J6" i="6"/>
  <c r="J7" i="6"/>
  <c r="J8" i="6"/>
  <c r="J9" i="6"/>
  <c r="J10" i="6"/>
  <c r="J11" i="6"/>
  <c r="J12" i="6"/>
  <c r="J13" i="6"/>
  <c r="J14" i="6"/>
  <c r="J15" i="6"/>
  <c r="J16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90" i="6"/>
  <c r="J91" i="6"/>
  <c r="J92" i="6"/>
  <c r="J93" i="6"/>
  <c r="J94" i="6"/>
  <c r="J95" i="6"/>
  <c r="J96" i="6"/>
  <c r="J97" i="6"/>
  <c r="J98" i="6"/>
  <c r="J99" i="6"/>
  <c r="J100" i="6"/>
  <c r="J101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137" i="6"/>
  <c r="J138" i="6"/>
  <c r="J139" i="6"/>
  <c r="J140" i="6"/>
  <c r="J141" i="6"/>
  <c r="J142" i="6"/>
  <c r="J143" i="6"/>
  <c r="J144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59" i="6"/>
  <c r="J160" i="6"/>
  <c r="J161" i="6"/>
  <c r="J162" i="6"/>
  <c r="J163" i="6"/>
  <c r="J164" i="6"/>
  <c r="J165" i="6"/>
  <c r="J166" i="6"/>
  <c r="J167" i="6"/>
  <c r="J168" i="6"/>
  <c r="J169" i="6"/>
  <c r="J170" i="6"/>
  <c r="J171" i="6"/>
  <c r="J172" i="6"/>
  <c r="J173" i="6"/>
  <c r="J174" i="6"/>
  <c r="J175" i="6"/>
  <c r="J176" i="6"/>
  <c r="J177" i="6"/>
  <c r="J178" i="6"/>
  <c r="J179" i="6"/>
  <c r="J180" i="6"/>
  <c r="J181" i="6"/>
  <c r="J182" i="6"/>
  <c r="J183" i="6"/>
  <c r="J184" i="6"/>
  <c r="J185" i="6"/>
  <c r="J186" i="6"/>
  <c r="J187" i="6"/>
  <c r="J188" i="6"/>
  <c r="J189" i="6"/>
  <c r="J190" i="6"/>
  <c r="J191" i="6"/>
  <c r="J192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206" i="6"/>
  <c r="J207" i="6"/>
  <c r="J208" i="6"/>
  <c r="J209" i="6"/>
  <c r="J210" i="6"/>
  <c r="J211" i="6"/>
  <c r="J212" i="6"/>
  <c r="J213" i="6"/>
  <c r="J214" i="6"/>
  <c r="J215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29" i="6"/>
  <c r="J230" i="6"/>
  <c r="J231" i="6"/>
  <c r="J232" i="6"/>
  <c r="J233" i="6"/>
  <c r="J234" i="6"/>
  <c r="J235" i="6"/>
  <c r="J236" i="6"/>
  <c r="J237" i="6"/>
  <c r="J238" i="6"/>
  <c r="J239" i="6"/>
  <c r="J240" i="6"/>
  <c r="J241" i="6"/>
  <c r="J242" i="6"/>
  <c r="J243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272" i="6"/>
  <c r="J273" i="6"/>
  <c r="J274" i="6"/>
  <c r="J275" i="6"/>
  <c r="J276" i="6"/>
  <c r="J277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294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4" i="6"/>
  <c r="J315" i="6"/>
  <c r="J316" i="6"/>
  <c r="J317" i="6"/>
  <c r="J318" i="6"/>
  <c r="J319" i="6"/>
  <c r="J320" i="6"/>
  <c r="J321" i="6"/>
  <c r="J2" i="6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2" i="6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2" i="6"/>
  <c r="F3" i="6"/>
  <c r="F4" i="6"/>
  <c r="F5" i="6"/>
  <c r="F6" i="6"/>
  <c r="F7" i="6"/>
  <c r="F8" i="6"/>
  <c r="F9" i="6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34" i="6"/>
  <c r="F35" i="6"/>
  <c r="F36" i="6"/>
  <c r="F37" i="6"/>
  <c r="F38" i="6"/>
  <c r="F39" i="6"/>
  <c r="F40" i="6"/>
  <c r="F41" i="6"/>
  <c r="F42" i="6"/>
  <c r="F43" i="6"/>
  <c r="F44" i="6"/>
  <c r="F45" i="6"/>
  <c r="F46" i="6"/>
  <c r="F47" i="6"/>
  <c r="F48" i="6"/>
  <c r="F49" i="6"/>
  <c r="F50" i="6"/>
  <c r="F51" i="6"/>
  <c r="F52" i="6"/>
  <c r="F53" i="6"/>
  <c r="F54" i="6"/>
  <c r="F55" i="6"/>
  <c r="F56" i="6"/>
  <c r="F57" i="6"/>
  <c r="F58" i="6"/>
  <c r="F59" i="6"/>
  <c r="F60" i="6"/>
  <c r="F61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99" i="6"/>
  <c r="F100" i="6"/>
  <c r="F101" i="6"/>
  <c r="F102" i="6"/>
  <c r="F103" i="6"/>
  <c r="F104" i="6"/>
  <c r="F105" i="6"/>
  <c r="F106" i="6"/>
  <c r="F107" i="6"/>
  <c r="F108" i="6"/>
  <c r="F109" i="6"/>
  <c r="F110" i="6"/>
  <c r="F111" i="6"/>
  <c r="F112" i="6"/>
  <c r="F113" i="6"/>
  <c r="F114" i="6"/>
  <c r="F115" i="6"/>
  <c r="F116" i="6"/>
  <c r="F117" i="6"/>
  <c r="F118" i="6"/>
  <c r="F119" i="6"/>
  <c r="F120" i="6"/>
  <c r="F121" i="6"/>
  <c r="F122" i="6"/>
  <c r="F123" i="6"/>
  <c r="F124" i="6"/>
  <c r="F125" i="6"/>
  <c r="F126" i="6"/>
  <c r="F127" i="6"/>
  <c r="F128" i="6"/>
  <c r="F129" i="6"/>
  <c r="F130" i="6"/>
  <c r="F131" i="6"/>
  <c r="F132" i="6"/>
  <c r="F133" i="6"/>
  <c r="F134" i="6"/>
  <c r="F135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48" i="6"/>
  <c r="F149" i="6"/>
  <c r="F150" i="6"/>
  <c r="F151" i="6"/>
  <c r="F152" i="6"/>
  <c r="F153" i="6"/>
  <c r="F154" i="6"/>
  <c r="F155" i="6"/>
  <c r="F156" i="6"/>
  <c r="F157" i="6"/>
  <c r="F158" i="6"/>
  <c r="F159" i="6"/>
  <c r="F160" i="6"/>
  <c r="F161" i="6"/>
  <c r="F162" i="6"/>
  <c r="F163" i="6"/>
  <c r="F164" i="6"/>
  <c r="F165" i="6"/>
  <c r="F166" i="6"/>
  <c r="F167" i="6"/>
  <c r="F168" i="6"/>
  <c r="F169" i="6"/>
  <c r="F170" i="6"/>
  <c r="F171" i="6"/>
  <c r="F172" i="6"/>
  <c r="F173" i="6"/>
  <c r="F174" i="6"/>
  <c r="F175" i="6"/>
  <c r="F176" i="6"/>
  <c r="F177" i="6"/>
  <c r="F178" i="6"/>
  <c r="F179" i="6"/>
  <c r="F180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1" i="6"/>
  <c r="F202" i="6"/>
  <c r="F203" i="6"/>
  <c r="F204" i="6"/>
  <c r="F205" i="6"/>
  <c r="F206" i="6"/>
  <c r="F207" i="6"/>
  <c r="F208" i="6"/>
  <c r="F209" i="6"/>
  <c r="F210" i="6"/>
  <c r="F211" i="6"/>
  <c r="F212" i="6"/>
  <c r="F213" i="6"/>
  <c r="F214" i="6"/>
  <c r="F215" i="6"/>
  <c r="F216" i="6"/>
  <c r="F217" i="6"/>
  <c r="F218" i="6"/>
  <c r="F219" i="6"/>
  <c r="F220" i="6"/>
  <c r="F221" i="6"/>
  <c r="F222" i="6"/>
  <c r="F223" i="6"/>
  <c r="F224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F239" i="6"/>
  <c r="F240" i="6"/>
  <c r="F241" i="6"/>
  <c r="F242" i="6"/>
  <c r="F243" i="6"/>
  <c r="F244" i="6"/>
  <c r="F245" i="6"/>
  <c r="F246" i="6"/>
  <c r="F247" i="6"/>
  <c r="F248" i="6"/>
  <c r="F249" i="6"/>
  <c r="F250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7" i="6"/>
  <c r="F268" i="6"/>
  <c r="F269" i="6"/>
  <c r="F270" i="6"/>
  <c r="F271" i="6"/>
  <c r="F272" i="6"/>
  <c r="F273" i="6"/>
  <c r="F274" i="6"/>
  <c r="F275" i="6"/>
  <c r="F276" i="6"/>
  <c r="F277" i="6"/>
  <c r="F278" i="6"/>
  <c r="F279" i="6"/>
  <c r="F280" i="6"/>
  <c r="F281" i="6"/>
  <c r="F282" i="6"/>
  <c r="F283" i="6"/>
  <c r="F284" i="6"/>
  <c r="F285" i="6"/>
  <c r="F286" i="6"/>
  <c r="F287" i="6"/>
  <c r="F288" i="6"/>
  <c r="F289" i="6"/>
  <c r="F290" i="6"/>
  <c r="F291" i="6"/>
  <c r="F292" i="6"/>
  <c r="F293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7" i="6"/>
  <c r="F308" i="6"/>
  <c r="F309" i="6"/>
  <c r="F310" i="6"/>
  <c r="F311" i="6"/>
  <c r="F312" i="6"/>
  <c r="F313" i="6"/>
  <c r="F314" i="6"/>
  <c r="F315" i="6"/>
  <c r="F316" i="6"/>
  <c r="F317" i="6"/>
  <c r="F318" i="6"/>
  <c r="F319" i="6"/>
  <c r="F320" i="6"/>
  <c r="F321" i="6"/>
  <c r="F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2" i="6"/>
  <c r="D3" i="6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D105" i="6"/>
  <c r="D106" i="6"/>
  <c r="D107" i="6"/>
  <c r="D108" i="6"/>
  <c r="D109" i="6"/>
  <c r="D110" i="6"/>
  <c r="D111" i="6"/>
  <c r="D112" i="6"/>
  <c r="D113" i="6"/>
  <c r="D114" i="6"/>
  <c r="D115" i="6"/>
  <c r="D116" i="6"/>
  <c r="D117" i="6"/>
  <c r="D118" i="6"/>
  <c r="D119" i="6"/>
  <c r="D120" i="6"/>
  <c r="D121" i="6"/>
  <c r="D122" i="6"/>
  <c r="D123" i="6"/>
  <c r="D124" i="6"/>
  <c r="D125" i="6"/>
  <c r="D126" i="6"/>
  <c r="D127" i="6"/>
  <c r="D128" i="6"/>
  <c r="D129" i="6"/>
  <c r="D130" i="6"/>
  <c r="D131" i="6"/>
  <c r="D132" i="6"/>
  <c r="D133" i="6"/>
  <c r="D134" i="6"/>
  <c r="D135" i="6"/>
  <c r="D136" i="6"/>
  <c r="D137" i="6"/>
  <c r="D138" i="6"/>
  <c r="D139" i="6"/>
  <c r="D140" i="6"/>
  <c r="D141" i="6"/>
  <c r="D142" i="6"/>
  <c r="D143" i="6"/>
  <c r="D144" i="6"/>
  <c r="D145" i="6"/>
  <c r="D146" i="6"/>
  <c r="D147" i="6"/>
  <c r="D148" i="6"/>
  <c r="D149" i="6"/>
  <c r="D150" i="6"/>
  <c r="D151" i="6"/>
  <c r="D152" i="6"/>
  <c r="D153" i="6"/>
  <c r="D154" i="6"/>
  <c r="D155" i="6"/>
  <c r="D156" i="6"/>
  <c r="D157" i="6"/>
  <c r="D158" i="6"/>
  <c r="D159" i="6"/>
  <c r="D160" i="6"/>
  <c r="D161" i="6"/>
  <c r="D162" i="6"/>
  <c r="D163" i="6"/>
  <c r="D164" i="6"/>
  <c r="D165" i="6"/>
  <c r="D166" i="6"/>
  <c r="D167" i="6"/>
  <c r="D168" i="6"/>
  <c r="D169" i="6"/>
  <c r="D170" i="6"/>
  <c r="D171" i="6"/>
  <c r="D172" i="6"/>
  <c r="D173" i="6"/>
  <c r="D174" i="6"/>
  <c r="D175" i="6"/>
  <c r="D176" i="6"/>
  <c r="D177" i="6"/>
  <c r="D178" i="6"/>
  <c r="D179" i="6"/>
  <c r="D180" i="6"/>
  <c r="D181" i="6"/>
  <c r="D182" i="6"/>
  <c r="D183" i="6"/>
  <c r="D184" i="6"/>
  <c r="D185" i="6"/>
  <c r="D186" i="6"/>
  <c r="D187" i="6"/>
  <c r="D188" i="6"/>
  <c r="D189" i="6"/>
  <c r="D190" i="6"/>
  <c r="D191" i="6"/>
  <c r="D192" i="6"/>
  <c r="D193" i="6"/>
  <c r="D194" i="6"/>
  <c r="D195" i="6"/>
  <c r="D196" i="6"/>
  <c r="D197" i="6"/>
  <c r="D198" i="6"/>
  <c r="D199" i="6"/>
  <c r="D200" i="6"/>
  <c r="D201" i="6"/>
  <c r="D202" i="6"/>
  <c r="D203" i="6"/>
  <c r="D204" i="6"/>
  <c r="D205" i="6"/>
  <c r="D206" i="6"/>
  <c r="D207" i="6"/>
  <c r="D208" i="6"/>
  <c r="D209" i="6"/>
  <c r="D210" i="6"/>
  <c r="D211" i="6"/>
  <c r="D212" i="6"/>
  <c r="D213" i="6"/>
  <c r="D214" i="6"/>
  <c r="D215" i="6"/>
  <c r="D216" i="6"/>
  <c r="D217" i="6"/>
  <c r="D218" i="6"/>
  <c r="D219" i="6"/>
  <c r="D220" i="6"/>
  <c r="D221" i="6"/>
  <c r="D222" i="6"/>
  <c r="D223" i="6"/>
  <c r="D224" i="6"/>
  <c r="D225" i="6"/>
  <c r="D226" i="6"/>
  <c r="D227" i="6"/>
  <c r="D228" i="6"/>
  <c r="D229" i="6"/>
  <c r="D230" i="6"/>
  <c r="D231" i="6"/>
  <c r="D232" i="6"/>
  <c r="D233" i="6"/>
  <c r="D234" i="6"/>
  <c r="D235" i="6"/>
  <c r="D236" i="6"/>
  <c r="D237" i="6"/>
  <c r="D238" i="6"/>
  <c r="D239" i="6"/>
  <c r="D240" i="6"/>
  <c r="D241" i="6"/>
  <c r="D242" i="6"/>
  <c r="D243" i="6"/>
  <c r="D244" i="6"/>
  <c r="D245" i="6"/>
  <c r="D246" i="6"/>
  <c r="D247" i="6"/>
  <c r="D248" i="6"/>
  <c r="D249" i="6"/>
  <c r="D250" i="6"/>
  <c r="D251" i="6"/>
  <c r="D252" i="6"/>
  <c r="D253" i="6"/>
  <c r="D254" i="6"/>
  <c r="D255" i="6"/>
  <c r="D256" i="6"/>
  <c r="D257" i="6"/>
  <c r="D258" i="6"/>
  <c r="D259" i="6"/>
  <c r="D260" i="6"/>
  <c r="D261" i="6"/>
  <c r="D262" i="6"/>
  <c r="D263" i="6"/>
  <c r="D264" i="6"/>
  <c r="D265" i="6"/>
  <c r="D266" i="6"/>
  <c r="D267" i="6"/>
  <c r="D268" i="6"/>
  <c r="D269" i="6"/>
  <c r="D270" i="6"/>
  <c r="D271" i="6"/>
  <c r="D272" i="6"/>
  <c r="D273" i="6"/>
  <c r="D274" i="6"/>
  <c r="D275" i="6"/>
  <c r="D276" i="6"/>
  <c r="D277" i="6"/>
  <c r="D278" i="6"/>
  <c r="D279" i="6"/>
  <c r="D280" i="6"/>
  <c r="D281" i="6"/>
  <c r="D282" i="6"/>
  <c r="D283" i="6"/>
  <c r="D284" i="6"/>
  <c r="D285" i="6"/>
  <c r="D286" i="6"/>
  <c r="D287" i="6"/>
  <c r="D288" i="6"/>
  <c r="D289" i="6"/>
  <c r="D290" i="6"/>
  <c r="D291" i="6"/>
  <c r="D292" i="6"/>
  <c r="D293" i="6"/>
  <c r="D294" i="6"/>
  <c r="D295" i="6"/>
  <c r="D296" i="6"/>
  <c r="D297" i="6"/>
  <c r="D298" i="6"/>
  <c r="D299" i="6"/>
  <c r="D300" i="6"/>
  <c r="D301" i="6"/>
  <c r="D302" i="6"/>
  <c r="D303" i="6"/>
  <c r="D304" i="6"/>
  <c r="D305" i="6"/>
  <c r="D306" i="6"/>
  <c r="D307" i="6"/>
  <c r="D308" i="6"/>
  <c r="D309" i="6"/>
  <c r="D310" i="6"/>
  <c r="D311" i="6"/>
  <c r="D312" i="6"/>
  <c r="D313" i="6"/>
  <c r="D314" i="6"/>
  <c r="D315" i="6"/>
  <c r="D316" i="6"/>
  <c r="D317" i="6"/>
  <c r="D318" i="6"/>
  <c r="D319" i="6"/>
  <c r="D320" i="6"/>
  <c r="D321" i="6"/>
  <c r="D2" i="6"/>
  <c r="R3" i="3"/>
  <c r="R4" i="3"/>
  <c r="R5" i="3"/>
  <c r="R6" i="3"/>
  <c r="R7" i="3"/>
  <c r="Q7" i="3"/>
  <c r="Q6" i="3"/>
  <c r="Q5" i="3"/>
  <c r="Q4" i="3"/>
  <c r="Q3" i="3"/>
</calcChain>
</file>

<file path=xl/sharedStrings.xml><?xml version="1.0" encoding="utf-8"?>
<sst xmlns="http://schemas.openxmlformats.org/spreadsheetml/2006/main" count="3105" uniqueCount="153">
  <si>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</si>
  <si>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</si>
  <si>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</si>
  <si>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</si>
  <si>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</si>
  <si>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</si>
  <si>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</si>
  <si>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</si>
  <si>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</si>
  <si>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</si>
  <si>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</si>
  <si>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</si>
  <si>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</si>
  <si>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</si>
  <si>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</si>
  <si>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East</t>
  </si>
  <si>
    <t>Residential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</si>
  <si>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</si>
  <si>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</si>
  <si>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</si>
  <si>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</si>
  <si>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</si>
  <si>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</si>
  <si>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</si>
  <si>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</si>
  <si>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</si>
  <si>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</si>
  <si>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</si>
  <si>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</si>
  <si>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</si>
  <si>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</si>
  <si>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</si>
  <si>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</si>
  <si>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</si>
  <si>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</si>
  <si>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</si>
  <si>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</si>
  <si>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</si>
  <si>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</si>
  <si>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</si>
  <si>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</si>
  <si>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</si>
  <si>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</si>
  <si>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</si>
  <si>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</si>
  <si>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</si>
  <si>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</si>
  <si>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</si>
  <si>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</si>
  <si>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</si>
  <si>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</si>
  <si>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</si>
  <si>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</si>
  <si>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</si>
  <si>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</si>
  <si>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</si>
  <si>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</si>
  <si>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</si>
  <si>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</si>
  <si>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</si>
  <si>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</si>
  <si>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</si>
  <si>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</si>
  <si>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</si>
  <si>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</si>
  <si>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</si>
  <si>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</si>
  <si>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</si>
  <si>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</si>
  <si>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</si>
  <si>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</si>
  <si>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</si>
  <si>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</si>
  <si>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</si>
  <si>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</si>
  <si>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</si>
  <si>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</si>
  <si>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</si>
  <si>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</si>
  <si>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</si>
  <si>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</si>
  <si>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</si>
  <si>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</si>
  <si>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</si>
  <si>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</si>
  <si>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</si>
  <si>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</si>
  <si>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</si>
  <si>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</si>
  <si>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</si>
  <si>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</si>
  <si>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</si>
  <si>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</si>
  <si>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</si>
  <si>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</si>
  <si>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</si>
  <si>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</si>
  <si>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</si>
  <si>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</si>
  <si>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</si>
  <si>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</si>
  <si>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</si>
  <si>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Average</t>
  </si>
  <si>
    <t>Median</t>
  </si>
  <si>
    <t>STDEV</t>
  </si>
  <si>
    <t>MIN</t>
  </si>
  <si>
    <t>MAX</t>
  </si>
  <si>
    <t>customer rating</t>
  </si>
  <si>
    <t>Missing Value Decision — Mean vs Median Check</t>
  </si>
  <si>
    <t>dummy_region_north</t>
  </si>
  <si>
    <t>dummy_region_south</t>
  </si>
  <si>
    <t>dummy_region_west</t>
  </si>
  <si>
    <t>dummy_store_type_HighStreet</t>
  </si>
  <si>
    <t>dummy_store_type_Residential</t>
  </si>
  <si>
    <t>dummy_store_type_Airport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</si>
  <si>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</si>
  <si>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</si>
  <si>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</si>
  <si>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</si>
  <si>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</si>
  <si>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</si>
  <si>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</si>
  <si>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</si>
  <si>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</si>
  <si>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</si>
  <si>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</si>
  <si>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</si>
  <si>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</si>
  <si>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</si>
  <si>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</si>
  <si>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</si>
  <si>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</si>
  <si>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</si>
  <si>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</si>
  <si>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</si>
  <si>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</si>
  <si>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</si>
  <si>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</si>
  <si>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</si>
  <si>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RESIDUAL OUTPUT</t>
  </si>
  <si>
    <t>Observation</t>
  </si>
  <si>
    <t>Predicted Y</t>
  </si>
  <si>
    <t>Residuals</t>
  </si>
  <si>
    <t>Simple Regression: Marketing Spend vs Monthly Sales</t>
  </si>
  <si>
    <t>Predicted monthly_sales</t>
  </si>
  <si>
    <t>Simple Regression: Footfall vs Monthly Sales</t>
  </si>
  <si>
    <t>Simple Regression: Avg Discount vs Monthly Sales</t>
  </si>
  <si>
    <t>Simple Regression: Inventory Availability vs Monthly Sales</t>
  </si>
  <si>
    <t>Multiple Regression: Combined Predictors vs Monthly Sales</t>
  </si>
  <si>
    <t>Prediction &amp; Residual Analysis — Multiple Regression Model</t>
  </si>
  <si>
    <t>actual_monthly_sales</t>
  </si>
  <si>
    <t>predicted_monthly_sales</t>
  </si>
  <si>
    <t>residual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</si>
</sst>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70" formatCode="mmm/yyyy"/>
  </numFmts>
  <fonts count="5">
    <font>
      <sz val="11"/>
      <name val="Carlito"/>
    </font>
    <font>
      <b/>
      <sz val="11"/>
      <color rgb="FFFFFFFF"/>
      <name val="Carlito"/>
    </font>
    <font>
      <b/>
      <sz val="11"/>
      <name val="Carlito"/>
    </font>
    <font>
      <i/>
      <sz val="11"/>
      <name val="Carlito"/>
    </font>
    <font>
      <b/>
      <sz val="14"/>
      <name val="Carlito"/>
    </font>
  </fonts>
  <fills count="3">
    <fill>
      <patternFill patternType="none"/>
    </fill>
    <fill>
      <patternFill patternType="gray125"/>
    </fill>
    <fill>
      <patternFill patternType="solid">
        <fgColor rgb="FF365F91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0" fillId="0" borderId="0" xfId="0" applyNumberForma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3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Continuous"/>
    </xf>
    <xf numFmtId="0" fontId="4" fillId="0" borderId="0" xfId="0" applyFont="1"/>
    <xf numFmtId="0" fontId="0" fillId="0" borderId="1" xfId="0" applyFill="1" applyBorder="1" applyAlignment="1"/>
    <xf numFmtId="0" fontId="0" fillId="0" borderId="2" xfId="0" applyFill="1" applyBorder="1" applyAlignment="1"/>
    <xf numFmtId="0" fontId="3" fillId="0" borderId="3" xfId="0" applyFont="1" applyFill="1" applyBorder="1" applyAlignment="1">
      <alignment horizontal="center"/>
    </xf>
    <xf numFmtId="0" fontId="3" fillId="0" borderId="3" xfId="0" applyFont="1" applyFill="1" applyBorder="1" applyAlignment="1">
      <alignment horizontal="centerContinuous"/>
    </xf>
    <xf numFmtId="170" fontId="1" fillId="2" borderId="0" xfId="0" applyNumberFormat="1" applyFont="1" applyFill="1" applyAlignment="1">
      <alignment horizontal="center" vertical="center" wrapText="1"/>
    </xf>
    <xf numFmtId="170" fontId="0" fillId="0" borderId="0" xfId="0" applyNumberFormat="1"/>
  </cellXfs>
  <cellStyles count="1">
    <cellStyle name="Normal" xfId="0" builtinId="0"/>
  </cellStyles>
  <dxfs count="1">
    <dxf>
      <numFmt numFmtId="170" formatCode="m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IN"/>
              <a:t>competitor_distance_km</a:t>
            </a:r>
            <a:r>
              <a:rPr 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i"/>
                <a:ea typeface="Calibri"/>
                <a:cs typeface="Calibri"/>
              </a:rPr>
              <a:t> </a:t>
            </a:r>
          </a:p>
        </cx:rich>
      </cx:tx>
    </cx:title>
    <cx:plotArea>
      <cx:plotAreaRegion>
        <cx:series layoutId="boxWhisker" uniqueId="{00000000-E52A-4942-8412-38D52741EDCA}" formatIdx="0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</cx:chartData>
  <cx:chart>
    <cx:title pos="t" align="ctr" overlay="0">
      <cx:tx>
        <cx:txData>
          <cx:v>customer_rating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  <a:ea typeface="Calibri"/>
              <a:cs typeface="Calibri"/>
            </a:rPr>
            <a:t>customer_rating</a:t>
          </a:r>
        </a:p>
      </cx:txPr>
    </cx:title>
    <cx:plotArea>
      <cx:plotAreaRegion>
        <cx:series layoutId="boxWhisker" uniqueId="{00000000-ACB1-4DA4-ADF4-7428B52BC1C7}" formatIdx="0"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2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19050</xdr:colOff>
      <xdr:row>7</xdr:row>
      <xdr:rowOff>174625</xdr:rowOff>
    </xdr:from>
    <xdr:to>
      <xdr:col>19</xdr:col>
      <xdr:colOff>133350</xdr:colOff>
      <xdr:row>23</xdr:row>
      <xdr:rowOff>73025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007BF83-1DB9-DB3F-60DA-2E6E9EF61F7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10350" y="147637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15</xdr:col>
      <xdr:colOff>6350</xdr:colOff>
      <xdr:row>24</xdr:row>
      <xdr:rowOff>53975</xdr:rowOff>
    </xdr:from>
    <xdr:to>
      <xdr:col>19</xdr:col>
      <xdr:colOff>120650</xdr:colOff>
      <xdr:row>39</xdr:row>
      <xdr:rowOff>130175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15466E93-8E52-2BDF-1DA1-A5082C7645B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297650" y="4378325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N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75BCC8-A1CA-4406-8D57-AD0A1640CDCC}" name="Table2" displayName="Table2" ref="A3:G323" totalsRowShown="0">
  <autoFilter ref="A3:G323" xr:uid="{5675BCC8-A1CA-4406-8D57-AD0A1640CDCC}"/>
  <sortState xmlns:xlrd2="http://schemas.microsoft.com/office/spreadsheetml/2017/richdata2" ref="A4:G323">
    <sortCondition ref="A4:A323"/>
  </sortState>
  <tableColumns count="7">
    <tableColumn id="1" xr3:uid="{167553A2-EE6D-4247-BF81-0DE961976EB2}" name="store_id">
      <calculatedColumnFormula>dummy_variable_creation_sheet!A2</calculatedColumnFormula>
    </tableColumn>
    <tableColumn id="2" xr3:uid="{66F7583D-94A8-4CBF-AADE-EB5CA8AF9D1C}" name="month" dataDxfId="0">
      <calculatedColumnFormula>dummy_variable_creation_sheet!B2</calculatedColumnFormula>
    </tableColumn>
    <tableColumn id="3" xr3:uid="{AF803E17-EBB9-433C-99F4-1CCC4B78C5B4}" name="region">
      <calculatedColumnFormula>dummy_variable_creation_sheet!C2</calculatedColumnFormula>
    </tableColumn>
    <tableColumn id="4" xr3:uid="{27A82F24-3DDD-4341-A7D2-00975F1171FE}" name="store_type">
      <calculatedColumnFormula>dummy_variable_creation_sheet!G2</calculatedColumnFormula>
    </tableColumn>
    <tableColumn id="5" xr3:uid="{6A79794C-A0EB-41A6-9F80-04D46FBD4C30}" name="actual_monthly_sales">
      <calculatedColumnFormula>dummy_variable_creation_sheet!S2</calculatedColumnFormula>
    </tableColumn>
    <tableColumn id="6" xr3:uid="{BC8704B4-45CB-44AC-9F11-2A1CDFD7202A}" name="predicted_monthly_sales">
      <calculatedColumnFormula>multiple_regression_outputs!B33</calculatedColumnFormula>
    </tableColumn>
    <tableColumn id="7" xr3:uid="{4391676C-CD32-46D7-A6E6-B36CB13DB686}" name="residual">
      <calculatedColumnFormula>multiple_regression_outputs!C33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21"/>
  <sheetViews>
    <sheetView workbookViewId="0">
      <selection activeCell="O21" sqref="O21"/>
    </sheetView>
  </sheetViews>
  <sheetFormatPr defaultRowHeight="14"/>
  <cols>
    <col min="1" max="14" width="16" customWidth="1"/>
  </cols>
  <sheetData>
    <row r="1" spans="1:14" ht="18.649999999999999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 s="2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</row>
    <row r="3" spans="1:14">
      <c r="A3" t="s">
        <v>14</v>
      </c>
      <c r="B3" s="2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</row>
    <row r="4" spans="1:14">
      <c r="A4" t="s">
        <v>14</v>
      </c>
      <c r="B4" s="2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</row>
    <row r="5" spans="1:14">
      <c r="A5" t="s">
        <v>14</v>
      </c>
      <c r="B5" s="2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</row>
    <row r="6" spans="1:14">
      <c r="A6" t="s">
        <v>17</v>
      </c>
      <c r="B6" s="2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</row>
    <row r="7" spans="1:14">
      <c r="A7" t="s">
        <v>17</v>
      </c>
      <c r="B7" s="2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</row>
    <row r="8" spans="1:14">
      <c r="A8" t="s">
        <v>17</v>
      </c>
      <c r="B8" s="2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4">
      <c r="A9" t="s">
        <v>17</v>
      </c>
      <c r="B9" s="2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4">
      <c r="A10" t="s">
        <v>19</v>
      </c>
      <c r="B10" s="2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4">
      <c r="A11" t="s">
        <v>19</v>
      </c>
      <c r="B11" s="2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4">
      <c r="A12" t="s">
        <v>19</v>
      </c>
      <c r="B12" s="2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4">
      <c r="A13" t="s">
        <v>19</v>
      </c>
      <c r="B13" s="2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4">
      <c r="A14" t="s">
        <v>22</v>
      </c>
      <c r="B14" s="2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4">
      <c r="A15" t="s">
        <v>22</v>
      </c>
      <c r="B15" s="2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4">
      <c r="A16" t="s">
        <v>22</v>
      </c>
      <c r="B16" s="2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2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2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2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2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2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2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2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2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2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2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2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2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2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2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2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2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2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2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2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M35">
        <v>799477.76000000001</v>
      </c>
      <c r="N35">
        <v>164974.41</v>
      </c>
    </row>
    <row r="36" spans="1:14">
      <c r="A36" t="s">
        <v>30</v>
      </c>
      <c r="B36" s="2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2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2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2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2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2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2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2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2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2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2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2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2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2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2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2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2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2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2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2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2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2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2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2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2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2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2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2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2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2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2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2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2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2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2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2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2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2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2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2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2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2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2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2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2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2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2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2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2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2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2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2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M87">
        <v>611766.72</v>
      </c>
      <c r="N87">
        <v>88275.61</v>
      </c>
    </row>
    <row r="88" spans="1:14">
      <c r="A88" t="s">
        <v>43</v>
      </c>
      <c r="B88" s="2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2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2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2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2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2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2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2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2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2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2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2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2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2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2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2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2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2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2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2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2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2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2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2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2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2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2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2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2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2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2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2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2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2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2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2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2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2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2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2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2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2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2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2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2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2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2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2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M135">
        <v>400831.65</v>
      </c>
      <c r="N135">
        <v>70979.31</v>
      </c>
    </row>
    <row r="136" spans="1:14">
      <c r="A136" t="s">
        <v>55</v>
      </c>
      <c r="B136" s="2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2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2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M138">
        <v>633638.03</v>
      </c>
      <c r="N138">
        <v>99402.01</v>
      </c>
    </row>
    <row r="139" spans="1:14">
      <c r="A139" t="s">
        <v>56</v>
      </c>
      <c r="B139" s="2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2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2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2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2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2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2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2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2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2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2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2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2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2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2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2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2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2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2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2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2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2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2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2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2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2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2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2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2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2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2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2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2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2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2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2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2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2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2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2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2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2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2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2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2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2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2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2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2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2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2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2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2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2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2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2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2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2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2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M197">
        <v>449465.06</v>
      </c>
      <c r="N197">
        <v>65694.78</v>
      </c>
    </row>
    <row r="198" spans="1:14">
      <c r="A198" t="s">
        <v>71</v>
      </c>
      <c r="B198" s="2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2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2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2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2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2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2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2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2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2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2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2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2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2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2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2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2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2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2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2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2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2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2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2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2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2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2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2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2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2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2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2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M229">
        <v>529598.93999999994</v>
      </c>
      <c r="N229">
        <v>84334.33</v>
      </c>
    </row>
    <row r="230" spans="1:14">
      <c r="A230" t="s">
        <v>79</v>
      </c>
      <c r="B230" s="2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2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2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2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2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2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2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2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2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2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2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2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2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2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2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2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2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2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2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2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2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2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2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2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2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2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2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2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2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2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2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2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2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2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2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2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2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2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2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2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2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2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2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2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2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2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2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2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2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2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2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2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2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2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2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2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2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2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2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2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2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2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2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2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2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2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2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2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2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2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2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2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2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2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2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2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2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2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2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2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2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2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2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2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M313">
        <v>771129.07</v>
      </c>
      <c r="N313">
        <v>116851.13</v>
      </c>
    </row>
    <row r="314" spans="1:14">
      <c r="A314" t="s">
        <v>100</v>
      </c>
      <c r="B314" s="2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2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M315">
        <v>688368.46</v>
      </c>
      <c r="N315">
        <v>93588.42</v>
      </c>
    </row>
    <row r="316" spans="1:14">
      <c r="A316" t="s">
        <v>100</v>
      </c>
      <c r="B316" s="2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2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2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2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2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>
      <c r="A321" t="s">
        <v>101</v>
      </c>
      <c r="B321" s="2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7B9A0-7A31-4822-ABFA-9A21B9B2888F}">
  <dimension ref="A1:R321"/>
  <sheetViews>
    <sheetView workbookViewId="0">
      <selection activeCell="C18" sqref="C18"/>
    </sheetView>
  </sheetViews>
  <sheetFormatPr defaultRowHeight="14"/>
  <cols>
    <col min="1" max="1" width="16" customWidth="1"/>
    <col min="2" max="2" width="16" style="14" customWidth="1"/>
    <col min="3" max="8" width="16" customWidth="1"/>
    <col min="9" max="9" width="26.5" bestFit="1" customWidth="1"/>
    <col min="10" max="10" width="26" bestFit="1" customWidth="1"/>
    <col min="11" max="14" width="16" customWidth="1"/>
    <col min="16" max="16" width="14.58203125" customWidth="1"/>
    <col min="17" max="17" width="21.1640625" customWidth="1"/>
    <col min="18" max="18" width="14.08203125" customWidth="1"/>
  </cols>
  <sheetData>
    <row r="1" spans="1:18" ht="18.649999999999999" customHeight="1">
      <c r="A1" s="1" t="s">
        <v>0</v>
      </c>
      <c r="B1" s="13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P1" s="3" t="s">
        <v>108</v>
      </c>
      <c r="Q1" s="3"/>
      <c r="R1" s="3"/>
    </row>
    <row r="2" spans="1:18">
      <c r="A2" t="s">
        <v>14</v>
      </c>
      <c r="B2" s="14">
        <v>45658</v>
      </c>
      <c r="C2" t="s">
        <v>15</v>
      </c>
      <c r="D2" t="s">
        <v>16</v>
      </c>
      <c r="E2">
        <v>70389.11</v>
      </c>
      <c r="F2">
        <v>8302</v>
      </c>
      <c r="G2">
        <v>4.2000000000000003E-2</v>
      </c>
      <c r="H2">
        <v>17</v>
      </c>
      <c r="I2">
        <v>75</v>
      </c>
      <c r="J2">
        <v>5.28</v>
      </c>
      <c r="K2">
        <v>1</v>
      </c>
      <c r="L2">
        <v>3.1</v>
      </c>
      <c r="M2">
        <v>658832.62</v>
      </c>
      <c r="N2">
        <v>84349.93</v>
      </c>
      <c r="Q2" t="s">
        <v>9</v>
      </c>
      <c r="R2" t="s">
        <v>107</v>
      </c>
    </row>
    <row r="3" spans="1:18">
      <c r="A3" t="s">
        <v>14</v>
      </c>
      <c r="B3" s="14">
        <v>45689</v>
      </c>
      <c r="C3" t="s">
        <v>15</v>
      </c>
      <c r="D3" t="s">
        <v>16</v>
      </c>
      <c r="E3">
        <v>43827.89</v>
      </c>
      <c r="F3">
        <v>8487</v>
      </c>
      <c r="G3">
        <v>0.16800000000000001</v>
      </c>
      <c r="H3">
        <v>23</v>
      </c>
      <c r="I3">
        <v>84.4</v>
      </c>
      <c r="J3">
        <v>4.3099999999999996</v>
      </c>
      <c r="K3">
        <v>0</v>
      </c>
      <c r="L3">
        <v>2.8</v>
      </c>
      <c r="M3">
        <v>634436</v>
      </c>
      <c r="N3">
        <v>106130.54</v>
      </c>
      <c r="P3" t="s">
        <v>102</v>
      </c>
      <c r="Q3">
        <f>AVERAGE(J$2:J$321)</f>
        <v>4.5366562500000018</v>
      </c>
      <c r="R3">
        <f>AVERAGE(L$2:L$321)</f>
        <v>3.9245625000000004</v>
      </c>
    </row>
    <row r="4" spans="1:18">
      <c r="A4" t="s">
        <v>14</v>
      </c>
      <c r="B4" s="14">
        <v>45717</v>
      </c>
      <c r="C4" t="s">
        <v>15</v>
      </c>
      <c r="D4" t="s">
        <v>16</v>
      </c>
      <c r="E4">
        <v>59921.75</v>
      </c>
      <c r="F4">
        <v>9113</v>
      </c>
      <c r="G4">
        <v>0.13300000000000001</v>
      </c>
      <c r="H4">
        <v>20</v>
      </c>
      <c r="I4">
        <v>88</v>
      </c>
      <c r="J4">
        <v>12</v>
      </c>
      <c r="K4">
        <v>0</v>
      </c>
      <c r="L4">
        <v>3.2</v>
      </c>
      <c r="M4">
        <v>678722.06</v>
      </c>
      <c r="N4">
        <v>101883.86</v>
      </c>
      <c r="P4" t="s">
        <v>103</v>
      </c>
      <c r="Q4">
        <f>MEDIAN(J$2:J$321)</f>
        <v>3.3650000000000002</v>
      </c>
      <c r="R4">
        <f>MEDIAN(L$2:L$321)</f>
        <v>3.92</v>
      </c>
    </row>
    <row r="5" spans="1:18">
      <c r="A5" t="s">
        <v>14</v>
      </c>
      <c r="B5" s="14">
        <v>45748</v>
      </c>
      <c r="C5" t="s">
        <v>15</v>
      </c>
      <c r="D5" t="s">
        <v>16</v>
      </c>
      <c r="E5">
        <v>56856.63</v>
      </c>
      <c r="F5">
        <v>9431</v>
      </c>
      <c r="G5">
        <v>0.14199999999999999</v>
      </c>
      <c r="H5">
        <v>23</v>
      </c>
      <c r="I5">
        <v>86.9</v>
      </c>
      <c r="J5">
        <v>4.97</v>
      </c>
      <c r="K5">
        <v>0</v>
      </c>
      <c r="L5">
        <v>3.4</v>
      </c>
      <c r="M5">
        <v>658920.30000000005</v>
      </c>
      <c r="N5">
        <v>97910.37</v>
      </c>
      <c r="P5" t="s">
        <v>104</v>
      </c>
      <c r="Q5">
        <f>_xlfn.STDEV.S(J$2:J$321)</f>
        <v>4.2484202382725673</v>
      </c>
      <c r="R5">
        <f>_xlfn.STDEV.S(L$2:L$321)</f>
        <v>0.51892141198660158</v>
      </c>
    </row>
    <row r="6" spans="1:18">
      <c r="A6" t="s">
        <v>17</v>
      </c>
      <c r="B6" s="14">
        <v>45658</v>
      </c>
      <c r="C6" t="s">
        <v>15</v>
      </c>
      <c r="D6" t="s">
        <v>18</v>
      </c>
      <c r="E6">
        <v>48412.639999999999</v>
      </c>
      <c r="F6">
        <v>9545</v>
      </c>
      <c r="G6">
        <v>0.23100000000000001</v>
      </c>
      <c r="H6">
        <v>21</v>
      </c>
      <c r="I6">
        <v>97.6</v>
      </c>
      <c r="J6">
        <v>6.94</v>
      </c>
      <c r="K6">
        <v>1</v>
      </c>
      <c r="L6">
        <v>4.2</v>
      </c>
      <c r="M6">
        <v>741341.44</v>
      </c>
      <c r="N6">
        <v>119208.17</v>
      </c>
      <c r="P6" t="s">
        <v>105</v>
      </c>
      <c r="Q6">
        <f>MIN(J$2:J$321)</f>
        <v>0.2</v>
      </c>
      <c r="R6">
        <f>MIN(L$2:L$321)</f>
        <v>2.8</v>
      </c>
    </row>
    <row r="7" spans="1:18">
      <c r="A7" t="s">
        <v>17</v>
      </c>
      <c r="B7" s="14">
        <v>45689</v>
      </c>
      <c r="C7" t="s">
        <v>15</v>
      </c>
      <c r="D7" t="s">
        <v>18</v>
      </c>
      <c r="E7">
        <v>64811.21</v>
      </c>
      <c r="F7">
        <v>9792</v>
      </c>
      <c r="G7">
        <v>0.112</v>
      </c>
      <c r="H7">
        <v>20</v>
      </c>
      <c r="I7">
        <v>84.2</v>
      </c>
      <c r="J7">
        <v>2.88</v>
      </c>
      <c r="K7">
        <v>0</v>
      </c>
      <c r="L7">
        <v>4.2</v>
      </c>
      <c r="M7">
        <v>761835.34</v>
      </c>
      <c r="N7">
        <v>149602.23000000001</v>
      </c>
      <c r="P7" t="s">
        <v>106</v>
      </c>
      <c r="Q7">
        <f>MAX(J$2:J$321)</f>
        <v>22.02</v>
      </c>
      <c r="R7">
        <f>MAX(L$2:L$321)</f>
        <v>5</v>
      </c>
    </row>
    <row r="8" spans="1:18">
      <c r="A8" t="s">
        <v>17</v>
      </c>
      <c r="B8" s="14">
        <v>45717</v>
      </c>
      <c r="C8" t="s">
        <v>15</v>
      </c>
      <c r="D8" t="s">
        <v>18</v>
      </c>
      <c r="E8">
        <v>46213.45</v>
      </c>
      <c r="F8">
        <v>10616</v>
      </c>
      <c r="G8">
        <v>0.122</v>
      </c>
      <c r="H8">
        <v>22</v>
      </c>
      <c r="I8">
        <v>85.2</v>
      </c>
      <c r="J8">
        <v>0.2</v>
      </c>
      <c r="K8">
        <v>1</v>
      </c>
      <c r="L8">
        <v>4.0999999999999996</v>
      </c>
      <c r="M8">
        <v>806615.54</v>
      </c>
      <c r="N8">
        <v>131364.62</v>
      </c>
    </row>
    <row r="9" spans="1:18">
      <c r="A9" t="s">
        <v>17</v>
      </c>
      <c r="B9" s="14">
        <v>45748</v>
      </c>
      <c r="C9" t="s">
        <v>15</v>
      </c>
      <c r="D9" t="s">
        <v>18</v>
      </c>
      <c r="E9">
        <v>68148.52</v>
      </c>
      <c r="F9">
        <v>8567</v>
      </c>
      <c r="G9">
        <v>0.127</v>
      </c>
      <c r="H9">
        <v>23</v>
      </c>
      <c r="I9">
        <v>95.6</v>
      </c>
      <c r="J9">
        <v>0.8</v>
      </c>
      <c r="K9">
        <v>0</v>
      </c>
      <c r="L9">
        <v>3.9</v>
      </c>
      <c r="M9">
        <v>850164.26</v>
      </c>
      <c r="N9">
        <v>149262.75</v>
      </c>
    </row>
    <row r="10" spans="1:18">
      <c r="A10" t="s">
        <v>19</v>
      </c>
      <c r="B10" s="14">
        <v>45658</v>
      </c>
      <c r="C10" t="s">
        <v>20</v>
      </c>
      <c r="D10" t="s">
        <v>21</v>
      </c>
      <c r="E10">
        <v>71838.86</v>
      </c>
      <c r="F10">
        <v>10979</v>
      </c>
      <c r="G10">
        <v>0.215</v>
      </c>
      <c r="H10">
        <v>26</v>
      </c>
      <c r="I10">
        <v>88.6</v>
      </c>
      <c r="J10">
        <v>7.7</v>
      </c>
      <c r="K10">
        <v>1</v>
      </c>
      <c r="L10">
        <v>3.8</v>
      </c>
      <c r="M10">
        <v>930581.7</v>
      </c>
      <c r="N10">
        <v>136207.98000000001</v>
      </c>
    </row>
    <row r="11" spans="1:18">
      <c r="A11" t="s">
        <v>19</v>
      </c>
      <c r="B11" s="14">
        <v>45689</v>
      </c>
      <c r="C11" t="s">
        <v>20</v>
      </c>
      <c r="D11" t="s">
        <v>21</v>
      </c>
      <c r="E11">
        <v>68133.440000000002</v>
      </c>
      <c r="F11">
        <v>9459</v>
      </c>
      <c r="G11">
        <v>0.22</v>
      </c>
      <c r="H11">
        <v>21</v>
      </c>
      <c r="I11">
        <v>85</v>
      </c>
      <c r="J11">
        <v>1.91</v>
      </c>
      <c r="K11">
        <v>0</v>
      </c>
      <c r="L11">
        <v>4.2</v>
      </c>
      <c r="M11">
        <v>779010.94</v>
      </c>
      <c r="N11">
        <v>106328.09</v>
      </c>
    </row>
    <row r="12" spans="1:18">
      <c r="A12" t="s">
        <v>19</v>
      </c>
      <c r="B12" s="14">
        <v>45717</v>
      </c>
      <c r="C12" t="s">
        <v>20</v>
      </c>
      <c r="D12" t="s">
        <v>21</v>
      </c>
      <c r="E12">
        <v>34285.21</v>
      </c>
      <c r="F12">
        <v>9172</v>
      </c>
      <c r="G12">
        <v>0.21299999999999999</v>
      </c>
      <c r="H12">
        <v>22</v>
      </c>
      <c r="I12">
        <v>88.3</v>
      </c>
      <c r="J12">
        <v>10.46</v>
      </c>
      <c r="K12">
        <v>1</v>
      </c>
      <c r="L12">
        <v>3.8</v>
      </c>
      <c r="M12">
        <v>723060.76</v>
      </c>
      <c r="N12">
        <v>123131.24</v>
      </c>
    </row>
    <row r="13" spans="1:18">
      <c r="A13" t="s">
        <v>19</v>
      </c>
      <c r="B13" s="14">
        <v>45748</v>
      </c>
      <c r="C13" t="s">
        <v>20</v>
      </c>
      <c r="D13" t="s">
        <v>21</v>
      </c>
      <c r="E13">
        <v>67979.88</v>
      </c>
      <c r="F13">
        <v>11230</v>
      </c>
      <c r="G13">
        <v>2E-3</v>
      </c>
      <c r="H13">
        <v>28</v>
      </c>
      <c r="I13">
        <v>85.3</v>
      </c>
      <c r="J13">
        <v>7.16</v>
      </c>
      <c r="K13">
        <v>0</v>
      </c>
      <c r="L13">
        <v>3.8</v>
      </c>
      <c r="M13">
        <v>910791.94</v>
      </c>
      <c r="N13">
        <v>158891.28</v>
      </c>
    </row>
    <row r="14" spans="1:18">
      <c r="A14" t="s">
        <v>22</v>
      </c>
      <c r="B14" s="14">
        <v>45658</v>
      </c>
      <c r="C14" t="s">
        <v>15</v>
      </c>
      <c r="D14" t="s">
        <v>16</v>
      </c>
      <c r="E14">
        <v>71828.259999999995</v>
      </c>
      <c r="F14">
        <v>12775</v>
      </c>
      <c r="G14">
        <v>0.11600000000000001</v>
      </c>
      <c r="H14">
        <v>30</v>
      </c>
      <c r="I14">
        <v>81.7</v>
      </c>
      <c r="J14">
        <v>4.24</v>
      </c>
      <c r="K14">
        <v>1</v>
      </c>
      <c r="L14">
        <v>4.2</v>
      </c>
      <c r="M14">
        <v>922168.6</v>
      </c>
      <c r="N14">
        <v>107494.53</v>
      </c>
    </row>
    <row r="15" spans="1:18">
      <c r="A15" t="s">
        <v>22</v>
      </c>
      <c r="B15" s="14">
        <v>45689</v>
      </c>
      <c r="C15" t="s">
        <v>15</v>
      </c>
      <c r="D15" t="s">
        <v>16</v>
      </c>
      <c r="E15">
        <v>55716.82</v>
      </c>
      <c r="F15">
        <v>10054</v>
      </c>
      <c r="G15">
        <v>0.14599999999999999</v>
      </c>
      <c r="H15">
        <v>24</v>
      </c>
      <c r="I15">
        <v>84.9</v>
      </c>
      <c r="J15">
        <v>1.06</v>
      </c>
      <c r="K15">
        <v>0</v>
      </c>
      <c r="L15">
        <v>4.3</v>
      </c>
      <c r="M15">
        <v>726606.28</v>
      </c>
      <c r="N15">
        <v>122729.29</v>
      </c>
    </row>
    <row r="16" spans="1:18">
      <c r="A16" t="s">
        <v>22</v>
      </c>
      <c r="B16" s="14">
        <v>45717</v>
      </c>
      <c r="C16" t="s">
        <v>15</v>
      </c>
      <c r="D16" t="s">
        <v>16</v>
      </c>
      <c r="E16">
        <v>59909.51</v>
      </c>
      <c r="F16">
        <v>8895</v>
      </c>
      <c r="G16">
        <v>0.22800000000000001</v>
      </c>
      <c r="H16">
        <v>23</v>
      </c>
      <c r="I16">
        <v>88.8</v>
      </c>
      <c r="J16">
        <v>0.27</v>
      </c>
      <c r="K16">
        <v>0</v>
      </c>
      <c r="L16">
        <v>4.3</v>
      </c>
      <c r="M16">
        <v>746501.09</v>
      </c>
      <c r="N16">
        <v>136816.72</v>
      </c>
    </row>
    <row r="17" spans="1:14">
      <c r="A17" t="s">
        <v>22</v>
      </c>
      <c r="B17" s="14">
        <v>45748</v>
      </c>
      <c r="C17" t="s">
        <v>15</v>
      </c>
      <c r="D17" t="s">
        <v>16</v>
      </c>
      <c r="E17">
        <v>75305.710000000006</v>
      </c>
      <c r="F17">
        <v>10940</v>
      </c>
      <c r="G17">
        <v>6.0000000000000001E-3</v>
      </c>
      <c r="H17">
        <v>26</v>
      </c>
      <c r="I17">
        <v>76.5</v>
      </c>
      <c r="J17">
        <v>1.32</v>
      </c>
      <c r="K17">
        <v>0</v>
      </c>
      <c r="L17">
        <v>4.5</v>
      </c>
      <c r="M17">
        <v>834017.02</v>
      </c>
      <c r="N17">
        <v>114745.03</v>
      </c>
    </row>
    <row r="18" spans="1:14">
      <c r="A18" t="s">
        <v>23</v>
      </c>
      <c r="B18" s="14">
        <v>45658</v>
      </c>
      <c r="C18" t="s">
        <v>24</v>
      </c>
      <c r="D18" t="s">
        <v>16</v>
      </c>
      <c r="E18">
        <v>48804.22</v>
      </c>
      <c r="F18">
        <v>7057</v>
      </c>
      <c r="G18">
        <v>5.0000000000000001E-3</v>
      </c>
      <c r="H18">
        <v>15</v>
      </c>
      <c r="I18">
        <v>87.7</v>
      </c>
      <c r="J18">
        <v>1.22</v>
      </c>
      <c r="K18">
        <v>0</v>
      </c>
      <c r="L18">
        <v>3.7</v>
      </c>
      <c r="M18">
        <v>666152.52</v>
      </c>
      <c r="N18">
        <v>107490.58</v>
      </c>
    </row>
    <row r="19" spans="1:14">
      <c r="A19" t="s">
        <v>23</v>
      </c>
      <c r="B19" s="14">
        <v>45689</v>
      </c>
      <c r="C19" t="s">
        <v>24</v>
      </c>
      <c r="D19" t="s">
        <v>16</v>
      </c>
      <c r="E19">
        <v>59117.9</v>
      </c>
      <c r="F19">
        <v>4263</v>
      </c>
      <c r="G19">
        <v>0.11899999999999999</v>
      </c>
      <c r="H19">
        <v>9</v>
      </c>
      <c r="I19">
        <v>87.6</v>
      </c>
      <c r="J19">
        <v>4.01</v>
      </c>
      <c r="K19">
        <v>0</v>
      </c>
      <c r="L19">
        <v>3.6</v>
      </c>
      <c r="M19">
        <v>573155.18999999994</v>
      </c>
      <c r="N19">
        <v>83680.75</v>
      </c>
    </row>
    <row r="20" spans="1:14">
      <c r="A20" t="s">
        <v>23</v>
      </c>
      <c r="B20" s="14">
        <v>45717</v>
      </c>
      <c r="C20" t="s">
        <v>24</v>
      </c>
      <c r="D20" t="s">
        <v>16</v>
      </c>
      <c r="E20">
        <v>78831.12</v>
      </c>
      <c r="F20">
        <v>5538</v>
      </c>
      <c r="G20">
        <v>0</v>
      </c>
      <c r="H20">
        <v>15</v>
      </c>
      <c r="I20">
        <v>94.1</v>
      </c>
      <c r="J20">
        <v>0.2</v>
      </c>
      <c r="K20">
        <v>0</v>
      </c>
      <c r="L20">
        <v>3.9</v>
      </c>
      <c r="M20">
        <v>666573.19999999995</v>
      </c>
      <c r="N20">
        <v>140641.01999999999</v>
      </c>
    </row>
    <row r="21" spans="1:14">
      <c r="A21" t="s">
        <v>23</v>
      </c>
      <c r="B21" s="14">
        <v>45748</v>
      </c>
      <c r="C21" t="s">
        <v>24</v>
      </c>
      <c r="D21" t="s">
        <v>16</v>
      </c>
      <c r="E21">
        <v>41441.93</v>
      </c>
      <c r="F21">
        <v>4865</v>
      </c>
      <c r="G21">
        <v>0.158</v>
      </c>
      <c r="H21">
        <v>16</v>
      </c>
      <c r="I21">
        <v>88.3</v>
      </c>
      <c r="J21">
        <v>0.5</v>
      </c>
      <c r="K21">
        <v>0</v>
      </c>
      <c r="L21">
        <v>4</v>
      </c>
      <c r="M21">
        <v>591619.94999999995</v>
      </c>
      <c r="N21">
        <v>99521.35</v>
      </c>
    </row>
    <row r="22" spans="1:14">
      <c r="A22" t="s">
        <v>25</v>
      </c>
      <c r="B22" s="14">
        <v>45658</v>
      </c>
      <c r="C22" t="s">
        <v>20</v>
      </c>
      <c r="D22" t="s">
        <v>16</v>
      </c>
      <c r="E22">
        <v>30356.28</v>
      </c>
      <c r="F22">
        <v>2822</v>
      </c>
      <c r="G22">
        <v>0.23100000000000001</v>
      </c>
      <c r="H22">
        <v>9</v>
      </c>
      <c r="I22">
        <v>84.8</v>
      </c>
      <c r="J22">
        <v>6.95</v>
      </c>
      <c r="K22">
        <v>0</v>
      </c>
      <c r="L22">
        <v>5</v>
      </c>
      <c r="M22">
        <v>415721.82</v>
      </c>
      <c r="N22">
        <v>61179.15</v>
      </c>
    </row>
    <row r="23" spans="1:14">
      <c r="A23" t="s">
        <v>25</v>
      </c>
      <c r="B23" s="14">
        <v>45689</v>
      </c>
      <c r="C23" t="s">
        <v>20</v>
      </c>
      <c r="D23" t="s">
        <v>16</v>
      </c>
      <c r="E23">
        <v>33518.879999999997</v>
      </c>
      <c r="F23">
        <v>2121</v>
      </c>
      <c r="G23">
        <v>0.17599999999999999</v>
      </c>
      <c r="H23">
        <v>8</v>
      </c>
      <c r="I23">
        <v>88.5</v>
      </c>
      <c r="J23">
        <v>0.2</v>
      </c>
      <c r="K23">
        <v>0</v>
      </c>
      <c r="L23">
        <v>5</v>
      </c>
      <c r="M23">
        <v>491905.13</v>
      </c>
      <c r="N23">
        <v>79212.259999999995</v>
      </c>
    </row>
    <row r="24" spans="1:14">
      <c r="A24" t="s">
        <v>25</v>
      </c>
      <c r="B24" s="14">
        <v>45717</v>
      </c>
      <c r="C24" t="s">
        <v>20</v>
      </c>
      <c r="D24" t="s">
        <v>16</v>
      </c>
      <c r="E24">
        <v>42267.37</v>
      </c>
      <c r="F24">
        <v>3364</v>
      </c>
      <c r="G24">
        <v>0.16</v>
      </c>
      <c r="H24">
        <v>13</v>
      </c>
      <c r="I24">
        <v>82</v>
      </c>
      <c r="J24">
        <v>1.61</v>
      </c>
      <c r="K24">
        <v>1</v>
      </c>
      <c r="L24">
        <v>4.5999999999999996</v>
      </c>
      <c r="M24">
        <v>555929.4</v>
      </c>
      <c r="N24">
        <v>115201.76</v>
      </c>
    </row>
    <row r="25" spans="1:14">
      <c r="A25" t="s">
        <v>25</v>
      </c>
      <c r="B25" s="14">
        <v>45748</v>
      </c>
      <c r="C25" t="s">
        <v>20</v>
      </c>
      <c r="D25" t="s">
        <v>16</v>
      </c>
      <c r="E25">
        <v>62060.43</v>
      </c>
      <c r="F25">
        <v>2613</v>
      </c>
      <c r="G25">
        <v>0.216</v>
      </c>
      <c r="H25">
        <v>12</v>
      </c>
      <c r="I25">
        <v>92.1</v>
      </c>
      <c r="J25">
        <v>1.55</v>
      </c>
      <c r="K25">
        <v>0</v>
      </c>
      <c r="L25">
        <v>4.7</v>
      </c>
      <c r="M25">
        <v>565810.99</v>
      </c>
      <c r="N25">
        <v>77825.460000000006</v>
      </c>
    </row>
    <row r="26" spans="1:14">
      <c r="A26" t="s">
        <v>26</v>
      </c>
      <c r="B26" s="14">
        <v>45658</v>
      </c>
      <c r="C26" t="s">
        <v>27</v>
      </c>
      <c r="D26" t="s">
        <v>28</v>
      </c>
      <c r="E26">
        <v>57696.69</v>
      </c>
      <c r="F26">
        <v>10218</v>
      </c>
      <c r="G26">
        <v>0.121</v>
      </c>
      <c r="H26">
        <v>25</v>
      </c>
      <c r="I26">
        <v>94.8</v>
      </c>
      <c r="J26">
        <v>2.99</v>
      </c>
      <c r="K26">
        <v>0</v>
      </c>
      <c r="L26">
        <v>3.5</v>
      </c>
      <c r="M26">
        <v>811771.14</v>
      </c>
      <c r="N26">
        <v>148756.24</v>
      </c>
    </row>
    <row r="27" spans="1:14">
      <c r="A27" t="s">
        <v>26</v>
      </c>
      <c r="B27" s="14">
        <v>45689</v>
      </c>
      <c r="C27" t="s">
        <v>27</v>
      </c>
      <c r="D27" t="s">
        <v>28</v>
      </c>
      <c r="E27">
        <v>172415.52</v>
      </c>
      <c r="F27">
        <v>8927</v>
      </c>
      <c r="G27">
        <v>0.14000000000000001</v>
      </c>
      <c r="H27">
        <v>22</v>
      </c>
      <c r="I27">
        <v>86.2</v>
      </c>
      <c r="J27">
        <v>7.04</v>
      </c>
      <c r="K27">
        <v>0</v>
      </c>
      <c r="L27">
        <v>3.9</v>
      </c>
      <c r="M27">
        <v>800451.94</v>
      </c>
      <c r="N27">
        <v>111572.29</v>
      </c>
    </row>
    <row r="28" spans="1:14">
      <c r="A28" t="s">
        <v>26</v>
      </c>
      <c r="B28" s="14">
        <v>45717</v>
      </c>
      <c r="C28" t="s">
        <v>27</v>
      </c>
      <c r="D28" t="s">
        <v>28</v>
      </c>
      <c r="E28">
        <v>55270.52</v>
      </c>
      <c r="F28">
        <v>9315</v>
      </c>
      <c r="G28">
        <v>0.16900000000000001</v>
      </c>
      <c r="H28">
        <v>23</v>
      </c>
      <c r="I28">
        <v>91.9</v>
      </c>
      <c r="J28">
        <v>4.9400000000000004</v>
      </c>
      <c r="K28">
        <v>0</v>
      </c>
      <c r="L28">
        <v>4</v>
      </c>
      <c r="M28">
        <v>783672.82</v>
      </c>
      <c r="N28">
        <v>112577.14</v>
      </c>
    </row>
    <row r="29" spans="1:14">
      <c r="A29" t="s">
        <v>26</v>
      </c>
      <c r="B29" s="14">
        <v>45748</v>
      </c>
      <c r="C29" t="s">
        <v>27</v>
      </c>
      <c r="D29" t="s">
        <v>28</v>
      </c>
      <c r="E29">
        <v>52715.1</v>
      </c>
      <c r="F29">
        <v>7223</v>
      </c>
      <c r="G29">
        <v>0.122</v>
      </c>
      <c r="H29">
        <v>16</v>
      </c>
      <c r="I29">
        <v>84.2</v>
      </c>
      <c r="J29">
        <v>16.149999999999999</v>
      </c>
      <c r="K29">
        <v>0</v>
      </c>
      <c r="L29">
        <v>3.7</v>
      </c>
      <c r="M29">
        <v>701641.97</v>
      </c>
      <c r="N29">
        <v>106111.86</v>
      </c>
    </row>
    <row r="30" spans="1:14">
      <c r="A30" t="s">
        <v>29</v>
      </c>
      <c r="B30" s="14">
        <v>45658</v>
      </c>
      <c r="C30" t="s">
        <v>15</v>
      </c>
      <c r="D30" t="s">
        <v>16</v>
      </c>
      <c r="E30">
        <v>68600.62</v>
      </c>
      <c r="F30">
        <v>3988</v>
      </c>
      <c r="G30">
        <v>0.124</v>
      </c>
      <c r="H30">
        <v>11</v>
      </c>
      <c r="I30">
        <v>85</v>
      </c>
      <c r="J30">
        <v>0.48</v>
      </c>
      <c r="K30">
        <v>0</v>
      </c>
      <c r="L30">
        <v>3.6</v>
      </c>
      <c r="M30">
        <v>511844.41</v>
      </c>
      <c r="N30">
        <v>72774.44</v>
      </c>
    </row>
    <row r="31" spans="1:14">
      <c r="A31" t="s">
        <v>29</v>
      </c>
      <c r="B31" s="14">
        <v>45689</v>
      </c>
      <c r="C31" t="s">
        <v>15</v>
      </c>
      <c r="D31" t="s">
        <v>16</v>
      </c>
      <c r="E31">
        <v>63176.73</v>
      </c>
      <c r="F31">
        <v>2390</v>
      </c>
      <c r="G31">
        <v>0.216</v>
      </c>
      <c r="H31">
        <v>9</v>
      </c>
      <c r="I31">
        <v>87.5</v>
      </c>
      <c r="J31">
        <v>0.31</v>
      </c>
      <c r="K31">
        <v>0</v>
      </c>
      <c r="L31">
        <v>3.1</v>
      </c>
      <c r="M31">
        <v>537383.79</v>
      </c>
      <c r="N31">
        <v>63773.27</v>
      </c>
    </row>
    <row r="32" spans="1:14">
      <c r="A32" t="s">
        <v>29</v>
      </c>
      <c r="B32" s="14">
        <v>45717</v>
      </c>
      <c r="C32" t="s">
        <v>15</v>
      </c>
      <c r="D32" t="s">
        <v>16</v>
      </c>
      <c r="E32">
        <v>44970.080000000002</v>
      </c>
      <c r="F32">
        <v>2471</v>
      </c>
      <c r="G32">
        <v>0.13600000000000001</v>
      </c>
      <c r="H32">
        <v>11</v>
      </c>
      <c r="I32">
        <v>87.6</v>
      </c>
      <c r="J32">
        <v>3.01</v>
      </c>
      <c r="K32">
        <v>1</v>
      </c>
      <c r="L32">
        <v>3.7</v>
      </c>
      <c r="M32">
        <v>500173.02</v>
      </c>
      <c r="N32">
        <v>70982.05</v>
      </c>
    </row>
    <row r="33" spans="1:14">
      <c r="A33" t="s">
        <v>29</v>
      </c>
      <c r="B33" s="14">
        <v>45748</v>
      </c>
      <c r="C33" t="s">
        <v>15</v>
      </c>
      <c r="D33" t="s">
        <v>16</v>
      </c>
      <c r="E33">
        <v>69816.350000000006</v>
      </c>
      <c r="F33">
        <v>971</v>
      </c>
      <c r="G33">
        <v>0.16800000000000001</v>
      </c>
      <c r="H33">
        <v>5</v>
      </c>
      <c r="I33">
        <v>89.9</v>
      </c>
      <c r="J33">
        <v>12.15</v>
      </c>
      <c r="K33">
        <v>0</v>
      </c>
      <c r="L33">
        <v>3.6</v>
      </c>
      <c r="M33">
        <v>427917.38</v>
      </c>
      <c r="N33">
        <v>81824.31</v>
      </c>
    </row>
    <row r="34" spans="1:14">
      <c r="A34" t="s">
        <v>30</v>
      </c>
      <c r="B34" s="14">
        <v>45658</v>
      </c>
      <c r="C34" t="s">
        <v>20</v>
      </c>
      <c r="D34" t="s">
        <v>16</v>
      </c>
      <c r="E34">
        <v>54597.83</v>
      </c>
      <c r="F34">
        <v>9429</v>
      </c>
      <c r="G34">
        <v>0.188</v>
      </c>
      <c r="H34">
        <v>21</v>
      </c>
      <c r="I34">
        <v>83.3</v>
      </c>
      <c r="J34">
        <v>11.71</v>
      </c>
      <c r="K34">
        <v>0</v>
      </c>
      <c r="L34">
        <v>4.2</v>
      </c>
      <c r="M34">
        <v>641865.03</v>
      </c>
      <c r="N34">
        <v>81342.58</v>
      </c>
    </row>
    <row r="35" spans="1:14">
      <c r="A35" t="s">
        <v>30</v>
      </c>
      <c r="B35" s="14">
        <v>45689</v>
      </c>
      <c r="C35" t="s">
        <v>20</v>
      </c>
      <c r="D35" t="s">
        <v>16</v>
      </c>
      <c r="E35">
        <v>73771.91</v>
      </c>
      <c r="F35">
        <v>11695</v>
      </c>
      <c r="G35">
        <v>7.0000000000000007E-2</v>
      </c>
      <c r="H35">
        <v>25</v>
      </c>
      <c r="I35">
        <v>84.7</v>
      </c>
      <c r="J35">
        <v>0.62</v>
      </c>
      <c r="K35">
        <v>0</v>
      </c>
      <c r="L35">
        <v>3.92</v>
      </c>
      <c r="M35">
        <v>799477.76000000001</v>
      </c>
      <c r="N35">
        <v>164974.41</v>
      </c>
    </row>
    <row r="36" spans="1:14">
      <c r="A36" t="s">
        <v>30</v>
      </c>
      <c r="B36" s="14">
        <v>45717</v>
      </c>
      <c r="C36" t="s">
        <v>20</v>
      </c>
      <c r="D36" t="s">
        <v>16</v>
      </c>
      <c r="E36">
        <v>74413.88</v>
      </c>
      <c r="F36">
        <v>9449</v>
      </c>
      <c r="G36">
        <v>3.9E-2</v>
      </c>
      <c r="H36">
        <v>23</v>
      </c>
      <c r="I36">
        <v>92.1</v>
      </c>
      <c r="J36">
        <v>2.12</v>
      </c>
      <c r="K36">
        <v>0</v>
      </c>
      <c r="L36">
        <v>3.5</v>
      </c>
      <c r="M36">
        <v>798952.17</v>
      </c>
      <c r="N36">
        <v>161499.04</v>
      </c>
    </row>
    <row r="37" spans="1:14">
      <c r="A37" t="s">
        <v>30</v>
      </c>
      <c r="B37" s="14">
        <v>45748</v>
      </c>
      <c r="C37" t="s">
        <v>20</v>
      </c>
      <c r="D37" t="s">
        <v>16</v>
      </c>
      <c r="E37">
        <v>52483.77</v>
      </c>
      <c r="F37">
        <v>10453</v>
      </c>
      <c r="G37">
        <v>0.247</v>
      </c>
      <c r="H37">
        <v>25</v>
      </c>
      <c r="I37">
        <v>99</v>
      </c>
      <c r="J37">
        <v>6.31</v>
      </c>
      <c r="K37">
        <v>0</v>
      </c>
      <c r="L37">
        <v>3.6</v>
      </c>
      <c r="M37">
        <v>800979.78</v>
      </c>
      <c r="N37">
        <v>149242.26999999999</v>
      </c>
    </row>
    <row r="38" spans="1:14">
      <c r="A38" t="s">
        <v>31</v>
      </c>
      <c r="B38" s="14">
        <v>45658</v>
      </c>
      <c r="C38" t="s">
        <v>20</v>
      </c>
      <c r="D38" t="s">
        <v>28</v>
      </c>
      <c r="E38">
        <v>75269.87</v>
      </c>
      <c r="F38">
        <v>8838</v>
      </c>
      <c r="G38">
        <v>9.1999999999999998E-2</v>
      </c>
      <c r="H38">
        <v>21</v>
      </c>
      <c r="I38">
        <v>83.1</v>
      </c>
      <c r="J38">
        <v>9.56</v>
      </c>
      <c r="K38">
        <v>1</v>
      </c>
      <c r="L38">
        <v>4.2</v>
      </c>
      <c r="M38">
        <v>820593.93</v>
      </c>
      <c r="N38">
        <v>115860.06</v>
      </c>
    </row>
    <row r="39" spans="1:14">
      <c r="A39" t="s">
        <v>31</v>
      </c>
      <c r="B39" s="14">
        <v>45689</v>
      </c>
      <c r="C39" t="s">
        <v>20</v>
      </c>
      <c r="D39" t="s">
        <v>28</v>
      </c>
      <c r="E39">
        <v>61245.41</v>
      </c>
      <c r="F39">
        <v>8156</v>
      </c>
      <c r="G39">
        <v>0.156</v>
      </c>
      <c r="H39">
        <v>19</v>
      </c>
      <c r="I39">
        <v>92.9</v>
      </c>
      <c r="J39">
        <v>9.0500000000000007</v>
      </c>
      <c r="K39">
        <v>0</v>
      </c>
      <c r="L39">
        <v>3.8</v>
      </c>
      <c r="M39">
        <v>718330.53</v>
      </c>
      <c r="N39">
        <v>93247.9</v>
      </c>
    </row>
    <row r="40" spans="1:14">
      <c r="A40" t="s">
        <v>31</v>
      </c>
      <c r="B40" s="14">
        <v>45717</v>
      </c>
      <c r="C40" t="s">
        <v>20</v>
      </c>
      <c r="D40" t="s">
        <v>28</v>
      </c>
      <c r="E40">
        <v>93381.26</v>
      </c>
      <c r="F40">
        <v>7562</v>
      </c>
      <c r="G40">
        <v>0.19800000000000001</v>
      </c>
      <c r="H40">
        <v>19</v>
      </c>
      <c r="I40">
        <v>82.9</v>
      </c>
      <c r="J40">
        <v>5.05</v>
      </c>
      <c r="K40">
        <v>0</v>
      </c>
      <c r="L40">
        <v>4</v>
      </c>
      <c r="M40">
        <v>736633.4</v>
      </c>
      <c r="N40">
        <v>115654.66</v>
      </c>
    </row>
    <row r="41" spans="1:14">
      <c r="A41" t="s">
        <v>31</v>
      </c>
      <c r="B41" s="14">
        <v>45748</v>
      </c>
      <c r="C41" t="s">
        <v>20</v>
      </c>
      <c r="D41" t="s">
        <v>28</v>
      </c>
      <c r="E41">
        <v>65012.19</v>
      </c>
      <c r="F41">
        <v>9598</v>
      </c>
      <c r="G41">
        <v>8.5000000000000006E-2</v>
      </c>
      <c r="H41">
        <v>24</v>
      </c>
      <c r="I41">
        <v>98.3</v>
      </c>
      <c r="J41">
        <v>0.89</v>
      </c>
      <c r="K41">
        <v>0</v>
      </c>
      <c r="L41">
        <v>3.8</v>
      </c>
      <c r="M41">
        <v>828623.85</v>
      </c>
      <c r="N41">
        <v>167320.51999999999</v>
      </c>
    </row>
    <row r="42" spans="1:14">
      <c r="A42" t="s">
        <v>32</v>
      </c>
      <c r="B42" s="14">
        <v>45658</v>
      </c>
      <c r="C42" t="s">
        <v>15</v>
      </c>
      <c r="D42" t="s">
        <v>28</v>
      </c>
      <c r="E42">
        <v>40462.94</v>
      </c>
      <c r="F42">
        <v>3660</v>
      </c>
      <c r="G42">
        <v>0.218</v>
      </c>
      <c r="H42">
        <v>11</v>
      </c>
      <c r="I42">
        <v>95.2</v>
      </c>
      <c r="J42">
        <v>5.57</v>
      </c>
      <c r="K42">
        <v>0</v>
      </c>
      <c r="L42">
        <v>4.4000000000000004</v>
      </c>
      <c r="M42">
        <v>592195.85</v>
      </c>
      <c r="N42">
        <v>92291.56</v>
      </c>
    </row>
    <row r="43" spans="1:14">
      <c r="A43" t="s">
        <v>32</v>
      </c>
      <c r="B43" s="14">
        <v>45689</v>
      </c>
      <c r="C43" t="s">
        <v>15</v>
      </c>
      <c r="D43" t="s">
        <v>28</v>
      </c>
      <c r="E43">
        <v>46123.88</v>
      </c>
      <c r="F43">
        <v>3227</v>
      </c>
      <c r="G43">
        <v>0.14299999999999999</v>
      </c>
      <c r="H43">
        <v>10</v>
      </c>
      <c r="I43">
        <v>75.400000000000006</v>
      </c>
      <c r="J43">
        <v>1.06</v>
      </c>
      <c r="K43">
        <v>0</v>
      </c>
      <c r="L43">
        <v>4.4000000000000004</v>
      </c>
      <c r="M43">
        <v>532644.46</v>
      </c>
      <c r="N43">
        <v>60681.32</v>
      </c>
    </row>
    <row r="44" spans="1:14">
      <c r="A44" t="s">
        <v>32</v>
      </c>
      <c r="B44" s="14">
        <v>45717</v>
      </c>
      <c r="C44" t="s">
        <v>15</v>
      </c>
      <c r="D44" t="s">
        <v>28</v>
      </c>
      <c r="E44">
        <v>68077.539999999994</v>
      </c>
      <c r="F44">
        <v>3360</v>
      </c>
      <c r="G44">
        <v>0.128</v>
      </c>
      <c r="H44">
        <v>14</v>
      </c>
      <c r="I44">
        <v>88.2</v>
      </c>
      <c r="J44">
        <v>1.24</v>
      </c>
      <c r="K44">
        <v>1</v>
      </c>
      <c r="L44">
        <v>4</v>
      </c>
      <c r="M44">
        <v>657429.18000000005</v>
      </c>
      <c r="N44">
        <v>88919.74</v>
      </c>
    </row>
    <row r="45" spans="1:14">
      <c r="A45" t="s">
        <v>32</v>
      </c>
      <c r="B45" s="14">
        <v>45748</v>
      </c>
      <c r="C45" t="s">
        <v>15</v>
      </c>
      <c r="D45" t="s">
        <v>28</v>
      </c>
      <c r="E45">
        <v>64882.14</v>
      </c>
      <c r="F45">
        <v>3642</v>
      </c>
      <c r="G45">
        <v>1.9E-2</v>
      </c>
      <c r="H45">
        <v>13</v>
      </c>
      <c r="I45">
        <v>87.8</v>
      </c>
      <c r="J45">
        <v>4.5199999999999996</v>
      </c>
      <c r="K45">
        <v>0</v>
      </c>
      <c r="L45">
        <v>4.2</v>
      </c>
      <c r="M45">
        <v>605178</v>
      </c>
      <c r="N45">
        <v>106958.74</v>
      </c>
    </row>
    <row r="46" spans="1:14">
      <c r="A46" t="s">
        <v>33</v>
      </c>
      <c r="B46" s="14">
        <v>45658</v>
      </c>
      <c r="C46" t="s">
        <v>27</v>
      </c>
      <c r="D46" t="s">
        <v>16</v>
      </c>
      <c r="E46">
        <v>138855.51</v>
      </c>
      <c r="F46">
        <v>5145</v>
      </c>
      <c r="G46">
        <v>0.06</v>
      </c>
      <c r="H46">
        <v>17</v>
      </c>
      <c r="I46">
        <v>88.2</v>
      </c>
      <c r="J46">
        <v>9.58</v>
      </c>
      <c r="K46">
        <v>0</v>
      </c>
      <c r="L46">
        <v>3.2</v>
      </c>
      <c r="M46">
        <v>595467.6</v>
      </c>
      <c r="N46">
        <v>104276.46</v>
      </c>
    </row>
    <row r="47" spans="1:14">
      <c r="A47" t="s">
        <v>33</v>
      </c>
      <c r="B47" s="14">
        <v>45689</v>
      </c>
      <c r="C47" t="s">
        <v>27</v>
      </c>
      <c r="D47" t="s">
        <v>16</v>
      </c>
      <c r="E47">
        <v>63630.21</v>
      </c>
      <c r="F47">
        <v>4460</v>
      </c>
      <c r="G47">
        <v>0.23499999999999999</v>
      </c>
      <c r="H47">
        <v>14</v>
      </c>
      <c r="I47">
        <v>98.6</v>
      </c>
      <c r="J47">
        <v>5.52</v>
      </c>
      <c r="K47">
        <v>0</v>
      </c>
      <c r="L47">
        <v>3.5</v>
      </c>
      <c r="M47">
        <v>599603.4</v>
      </c>
      <c r="N47">
        <v>112685.12</v>
      </c>
    </row>
    <row r="48" spans="1:14">
      <c r="A48" t="s">
        <v>33</v>
      </c>
      <c r="B48" s="14">
        <v>45717</v>
      </c>
      <c r="C48" t="s">
        <v>27</v>
      </c>
      <c r="D48" t="s">
        <v>16</v>
      </c>
      <c r="E48">
        <v>50043.65</v>
      </c>
      <c r="F48">
        <v>3804</v>
      </c>
      <c r="G48">
        <v>0.113</v>
      </c>
      <c r="H48">
        <v>11</v>
      </c>
      <c r="I48">
        <v>90.9</v>
      </c>
      <c r="J48">
        <v>2.7</v>
      </c>
      <c r="K48">
        <v>1</v>
      </c>
      <c r="L48">
        <v>3.2</v>
      </c>
      <c r="M48">
        <v>614800.09</v>
      </c>
      <c r="N48">
        <v>100044.2</v>
      </c>
    </row>
    <row r="49" spans="1:14">
      <c r="A49" t="s">
        <v>33</v>
      </c>
      <c r="B49" s="14">
        <v>45748</v>
      </c>
      <c r="C49" t="s">
        <v>27</v>
      </c>
      <c r="D49" t="s">
        <v>16</v>
      </c>
      <c r="E49">
        <v>42093.84</v>
      </c>
      <c r="F49">
        <v>4074</v>
      </c>
      <c r="G49">
        <v>0.155</v>
      </c>
      <c r="H49">
        <v>15</v>
      </c>
      <c r="I49">
        <v>88</v>
      </c>
      <c r="J49">
        <v>9.64</v>
      </c>
      <c r="K49">
        <v>0</v>
      </c>
      <c r="L49">
        <v>3.3</v>
      </c>
      <c r="M49">
        <v>585365.73</v>
      </c>
      <c r="N49">
        <v>81011.520000000004</v>
      </c>
    </row>
    <row r="50" spans="1:14">
      <c r="A50" t="s">
        <v>34</v>
      </c>
      <c r="B50" s="14">
        <v>45658</v>
      </c>
      <c r="C50" t="s">
        <v>20</v>
      </c>
      <c r="D50" t="s">
        <v>28</v>
      </c>
      <c r="E50">
        <v>46624.05</v>
      </c>
      <c r="F50">
        <v>5104</v>
      </c>
      <c r="G50">
        <v>0.109</v>
      </c>
      <c r="H50">
        <v>11</v>
      </c>
      <c r="I50">
        <v>97.3</v>
      </c>
      <c r="J50">
        <v>3.49</v>
      </c>
      <c r="K50">
        <v>1</v>
      </c>
      <c r="L50">
        <v>4.7</v>
      </c>
      <c r="M50">
        <v>622811.74</v>
      </c>
      <c r="N50">
        <v>109978.35</v>
      </c>
    </row>
    <row r="51" spans="1:14">
      <c r="A51" t="s">
        <v>34</v>
      </c>
      <c r="B51" s="14">
        <v>45689</v>
      </c>
      <c r="C51" t="s">
        <v>20</v>
      </c>
      <c r="D51" t="s">
        <v>28</v>
      </c>
      <c r="E51">
        <v>49710.29</v>
      </c>
      <c r="F51">
        <v>5559</v>
      </c>
      <c r="G51">
        <v>0.218</v>
      </c>
      <c r="H51">
        <v>14</v>
      </c>
      <c r="I51">
        <v>71</v>
      </c>
      <c r="J51">
        <v>9.11</v>
      </c>
      <c r="K51">
        <v>0</v>
      </c>
      <c r="L51">
        <v>4.5999999999999996</v>
      </c>
      <c r="M51">
        <v>603297.56999999995</v>
      </c>
      <c r="N51">
        <v>60592.26</v>
      </c>
    </row>
    <row r="52" spans="1:14">
      <c r="A52" t="s">
        <v>34</v>
      </c>
      <c r="B52" s="14">
        <v>45717</v>
      </c>
      <c r="C52" t="s">
        <v>20</v>
      </c>
      <c r="D52" t="s">
        <v>28</v>
      </c>
      <c r="E52">
        <v>48287.85</v>
      </c>
      <c r="F52">
        <v>5150</v>
      </c>
      <c r="G52">
        <v>8.0000000000000002E-3</v>
      </c>
      <c r="H52">
        <v>12</v>
      </c>
      <c r="I52">
        <v>80.400000000000006</v>
      </c>
      <c r="J52">
        <v>7.4</v>
      </c>
      <c r="K52">
        <v>0</v>
      </c>
      <c r="L52">
        <v>4.5</v>
      </c>
      <c r="M52">
        <v>625672.86</v>
      </c>
      <c r="N52">
        <v>118020.12</v>
      </c>
    </row>
    <row r="53" spans="1:14">
      <c r="A53" t="s">
        <v>34</v>
      </c>
      <c r="B53" s="14">
        <v>45748</v>
      </c>
      <c r="C53" t="s">
        <v>20</v>
      </c>
      <c r="D53" t="s">
        <v>28</v>
      </c>
      <c r="E53">
        <v>65312.49</v>
      </c>
      <c r="F53">
        <v>7189</v>
      </c>
      <c r="G53">
        <v>0.05</v>
      </c>
      <c r="H53">
        <v>19</v>
      </c>
      <c r="I53">
        <v>93.7</v>
      </c>
      <c r="J53">
        <v>7.16</v>
      </c>
      <c r="K53">
        <v>0</v>
      </c>
      <c r="L53">
        <v>4.5999999999999996</v>
      </c>
      <c r="M53">
        <v>773815.14</v>
      </c>
      <c r="N53">
        <v>133948.39000000001</v>
      </c>
    </row>
    <row r="54" spans="1:14">
      <c r="A54" t="s">
        <v>35</v>
      </c>
      <c r="B54" s="14">
        <v>45658</v>
      </c>
      <c r="C54" t="s">
        <v>27</v>
      </c>
      <c r="D54" t="s">
        <v>18</v>
      </c>
      <c r="E54">
        <v>53015.46</v>
      </c>
      <c r="F54">
        <v>3279</v>
      </c>
      <c r="G54">
        <v>8.6999999999999994E-2</v>
      </c>
      <c r="H54">
        <v>9</v>
      </c>
      <c r="I54">
        <v>84.3</v>
      </c>
      <c r="J54">
        <v>22.02</v>
      </c>
      <c r="K54">
        <v>0</v>
      </c>
      <c r="L54">
        <v>3.9</v>
      </c>
      <c r="M54">
        <v>463534.25</v>
      </c>
      <c r="N54">
        <v>81834.539999999994</v>
      </c>
    </row>
    <row r="55" spans="1:14">
      <c r="A55" t="s">
        <v>35</v>
      </c>
      <c r="B55" s="14">
        <v>45689</v>
      </c>
      <c r="C55" t="s">
        <v>27</v>
      </c>
      <c r="D55" t="s">
        <v>18</v>
      </c>
      <c r="E55">
        <v>99874.01</v>
      </c>
      <c r="F55">
        <v>5887</v>
      </c>
      <c r="G55">
        <v>0.26200000000000001</v>
      </c>
      <c r="H55">
        <v>14</v>
      </c>
      <c r="I55">
        <v>88.7</v>
      </c>
      <c r="J55">
        <v>6.18</v>
      </c>
      <c r="K55">
        <v>0</v>
      </c>
      <c r="L55">
        <v>4.7</v>
      </c>
      <c r="M55">
        <v>746677.75</v>
      </c>
      <c r="N55">
        <v>122437.84</v>
      </c>
    </row>
    <row r="56" spans="1:14">
      <c r="A56" t="s">
        <v>35</v>
      </c>
      <c r="B56" s="14">
        <v>45717</v>
      </c>
      <c r="C56" t="s">
        <v>27</v>
      </c>
      <c r="D56" t="s">
        <v>18</v>
      </c>
      <c r="E56">
        <v>81195.5</v>
      </c>
      <c r="F56">
        <v>5516</v>
      </c>
      <c r="G56">
        <v>0.106</v>
      </c>
      <c r="H56">
        <v>14</v>
      </c>
      <c r="I56">
        <v>88</v>
      </c>
      <c r="J56">
        <v>1.76</v>
      </c>
      <c r="K56">
        <v>0</v>
      </c>
      <c r="L56">
        <v>4.3</v>
      </c>
      <c r="M56">
        <v>720852.5</v>
      </c>
      <c r="N56">
        <v>98565.62</v>
      </c>
    </row>
    <row r="57" spans="1:14">
      <c r="A57" t="s">
        <v>35</v>
      </c>
      <c r="B57" s="14">
        <v>45748</v>
      </c>
      <c r="C57" t="s">
        <v>27</v>
      </c>
      <c r="D57" t="s">
        <v>18</v>
      </c>
      <c r="E57">
        <v>27808.6</v>
      </c>
      <c r="F57">
        <v>2863</v>
      </c>
      <c r="G57">
        <v>0.08</v>
      </c>
      <c r="H57">
        <v>13</v>
      </c>
      <c r="I57">
        <v>89.3</v>
      </c>
      <c r="J57">
        <v>0.47</v>
      </c>
      <c r="K57">
        <v>0</v>
      </c>
      <c r="L57">
        <v>4.0999999999999996</v>
      </c>
      <c r="M57">
        <v>487464.91</v>
      </c>
      <c r="N57">
        <v>64562.26</v>
      </c>
    </row>
    <row r="58" spans="1:14">
      <c r="A58" t="s">
        <v>36</v>
      </c>
      <c r="B58" s="14">
        <v>45658</v>
      </c>
      <c r="C58" t="s">
        <v>15</v>
      </c>
      <c r="D58" t="s">
        <v>21</v>
      </c>
      <c r="E58">
        <v>19365.060000000001</v>
      </c>
      <c r="F58">
        <v>2378</v>
      </c>
      <c r="G58">
        <v>0</v>
      </c>
      <c r="H58">
        <v>12</v>
      </c>
      <c r="I58">
        <v>94.8</v>
      </c>
      <c r="J58">
        <v>0.2</v>
      </c>
      <c r="K58">
        <v>0</v>
      </c>
      <c r="L58">
        <v>3.5</v>
      </c>
      <c r="M58">
        <v>518049.26</v>
      </c>
      <c r="N58">
        <v>108592.49</v>
      </c>
    </row>
    <row r="59" spans="1:14">
      <c r="A59" t="s">
        <v>36</v>
      </c>
      <c r="B59" s="14">
        <v>45689</v>
      </c>
      <c r="C59" t="s">
        <v>15</v>
      </c>
      <c r="D59" t="s">
        <v>21</v>
      </c>
      <c r="E59">
        <v>59405.68</v>
      </c>
      <c r="F59">
        <v>2515</v>
      </c>
      <c r="G59">
        <v>3.9E-2</v>
      </c>
      <c r="H59">
        <v>12</v>
      </c>
      <c r="I59">
        <v>76</v>
      </c>
      <c r="J59">
        <v>5.1100000000000003</v>
      </c>
      <c r="K59">
        <v>0</v>
      </c>
      <c r="L59">
        <v>3.7</v>
      </c>
      <c r="M59">
        <v>500298.48</v>
      </c>
      <c r="N59">
        <v>73461.320000000007</v>
      </c>
    </row>
    <row r="60" spans="1:14">
      <c r="A60" t="s">
        <v>36</v>
      </c>
      <c r="B60" s="14">
        <v>45717</v>
      </c>
      <c r="C60" t="s">
        <v>15</v>
      </c>
      <c r="D60" t="s">
        <v>21</v>
      </c>
      <c r="E60">
        <v>118910.48</v>
      </c>
      <c r="F60">
        <v>4022</v>
      </c>
      <c r="G60">
        <v>0.13700000000000001</v>
      </c>
      <c r="H60">
        <v>11</v>
      </c>
      <c r="I60">
        <v>87.1</v>
      </c>
      <c r="J60">
        <v>0.2</v>
      </c>
      <c r="K60">
        <v>0</v>
      </c>
      <c r="L60">
        <v>3.1</v>
      </c>
      <c r="M60">
        <v>617291.15</v>
      </c>
      <c r="N60">
        <v>117782</v>
      </c>
    </row>
    <row r="61" spans="1:14">
      <c r="A61" t="s">
        <v>36</v>
      </c>
      <c r="B61" s="14">
        <v>45748</v>
      </c>
      <c r="C61" t="s">
        <v>15</v>
      </c>
      <c r="D61" t="s">
        <v>21</v>
      </c>
      <c r="E61">
        <v>52952.12</v>
      </c>
      <c r="F61">
        <v>4377</v>
      </c>
      <c r="G61">
        <v>9.1999999999999998E-2</v>
      </c>
      <c r="H61">
        <v>14</v>
      </c>
      <c r="I61">
        <v>88.6</v>
      </c>
      <c r="J61">
        <v>13.59</v>
      </c>
      <c r="K61">
        <v>0</v>
      </c>
      <c r="L61">
        <v>3.1</v>
      </c>
      <c r="M61">
        <v>553756.43000000005</v>
      </c>
      <c r="N61">
        <v>86166.77</v>
      </c>
    </row>
    <row r="62" spans="1:14">
      <c r="A62" t="s">
        <v>37</v>
      </c>
      <c r="B62" s="14">
        <v>45658</v>
      </c>
      <c r="C62" t="s">
        <v>24</v>
      </c>
      <c r="D62" t="s">
        <v>18</v>
      </c>
      <c r="E62">
        <v>74907.98</v>
      </c>
      <c r="F62">
        <v>5306</v>
      </c>
      <c r="G62">
        <v>6.2E-2</v>
      </c>
      <c r="H62">
        <v>16</v>
      </c>
      <c r="I62">
        <v>95.6</v>
      </c>
      <c r="J62">
        <v>1.02</v>
      </c>
      <c r="K62">
        <v>0</v>
      </c>
      <c r="L62">
        <v>3.7</v>
      </c>
      <c r="M62">
        <v>749559.71</v>
      </c>
      <c r="N62">
        <v>144522.53</v>
      </c>
    </row>
    <row r="63" spans="1:14">
      <c r="A63" t="s">
        <v>37</v>
      </c>
      <c r="B63" s="14">
        <v>45689</v>
      </c>
      <c r="C63" t="s">
        <v>24</v>
      </c>
      <c r="D63" t="s">
        <v>18</v>
      </c>
      <c r="E63">
        <v>37284.660000000003</v>
      </c>
      <c r="F63">
        <v>3928</v>
      </c>
      <c r="G63">
        <v>7.3999999999999996E-2</v>
      </c>
      <c r="H63">
        <v>12</v>
      </c>
      <c r="I63">
        <v>86.5</v>
      </c>
      <c r="J63">
        <v>1.64</v>
      </c>
      <c r="K63">
        <v>0</v>
      </c>
      <c r="L63">
        <v>3.8</v>
      </c>
      <c r="M63">
        <v>615966.48</v>
      </c>
      <c r="N63">
        <v>91509.38</v>
      </c>
    </row>
    <row r="64" spans="1:14">
      <c r="A64" t="s">
        <v>37</v>
      </c>
      <c r="B64" s="14">
        <v>45717</v>
      </c>
      <c r="C64" t="s">
        <v>24</v>
      </c>
      <c r="D64" t="s">
        <v>18</v>
      </c>
      <c r="E64">
        <v>50343.19</v>
      </c>
      <c r="F64">
        <v>3845</v>
      </c>
      <c r="G64">
        <v>0.113</v>
      </c>
      <c r="H64">
        <v>9</v>
      </c>
      <c r="I64">
        <v>88.7</v>
      </c>
      <c r="J64">
        <v>5.15</v>
      </c>
      <c r="K64">
        <v>0</v>
      </c>
      <c r="L64">
        <v>3.3</v>
      </c>
      <c r="M64">
        <v>572011.19999999995</v>
      </c>
      <c r="N64">
        <v>101409.68</v>
      </c>
    </row>
    <row r="65" spans="1:14">
      <c r="A65" t="s">
        <v>37</v>
      </c>
      <c r="B65" s="14">
        <v>45748</v>
      </c>
      <c r="C65" t="s">
        <v>24</v>
      </c>
      <c r="D65" t="s">
        <v>18</v>
      </c>
      <c r="E65">
        <v>74954.47</v>
      </c>
      <c r="F65">
        <v>6620</v>
      </c>
      <c r="G65">
        <v>5.3999999999999999E-2</v>
      </c>
      <c r="H65">
        <v>17</v>
      </c>
      <c r="I65">
        <v>91.1</v>
      </c>
      <c r="J65">
        <v>1.1100000000000001</v>
      </c>
      <c r="K65">
        <v>0</v>
      </c>
      <c r="L65">
        <v>3.5</v>
      </c>
      <c r="M65">
        <v>761860.19</v>
      </c>
      <c r="N65">
        <v>133279.38</v>
      </c>
    </row>
    <row r="66" spans="1:14">
      <c r="A66" t="s">
        <v>38</v>
      </c>
      <c r="B66" s="14">
        <v>45658</v>
      </c>
      <c r="C66" t="s">
        <v>27</v>
      </c>
      <c r="D66" t="s">
        <v>18</v>
      </c>
      <c r="E66">
        <v>70040.31</v>
      </c>
      <c r="F66">
        <v>9175</v>
      </c>
      <c r="G66">
        <v>0.107</v>
      </c>
      <c r="H66">
        <v>23</v>
      </c>
      <c r="I66">
        <v>95.1</v>
      </c>
      <c r="J66">
        <v>6.08</v>
      </c>
      <c r="K66">
        <v>1</v>
      </c>
      <c r="L66">
        <v>3.4</v>
      </c>
      <c r="M66">
        <v>784502.68</v>
      </c>
      <c r="N66">
        <v>129519.72</v>
      </c>
    </row>
    <row r="67" spans="1:14">
      <c r="A67" t="s">
        <v>38</v>
      </c>
      <c r="B67" s="14">
        <v>45689</v>
      </c>
      <c r="C67" t="s">
        <v>27</v>
      </c>
      <c r="D67" t="s">
        <v>18</v>
      </c>
      <c r="E67">
        <v>51148.69</v>
      </c>
      <c r="F67">
        <v>7940</v>
      </c>
      <c r="G67">
        <v>0.156</v>
      </c>
      <c r="H67">
        <v>18</v>
      </c>
      <c r="I67">
        <v>93.3</v>
      </c>
      <c r="J67">
        <v>10.91</v>
      </c>
      <c r="K67">
        <v>0</v>
      </c>
      <c r="L67">
        <v>3.6</v>
      </c>
      <c r="M67">
        <v>717141.55</v>
      </c>
      <c r="N67">
        <v>134013.60999999999</v>
      </c>
    </row>
    <row r="68" spans="1:14">
      <c r="A68" t="s">
        <v>38</v>
      </c>
      <c r="B68" s="14">
        <v>45717</v>
      </c>
      <c r="C68" t="s">
        <v>27</v>
      </c>
      <c r="D68" t="s">
        <v>18</v>
      </c>
      <c r="E68">
        <v>79346.100000000006</v>
      </c>
      <c r="F68">
        <v>9628</v>
      </c>
      <c r="G68">
        <v>0.10199999999999999</v>
      </c>
      <c r="H68">
        <v>20</v>
      </c>
      <c r="I68">
        <v>99</v>
      </c>
      <c r="J68">
        <v>19.010000000000002</v>
      </c>
      <c r="K68">
        <v>1</v>
      </c>
      <c r="L68">
        <v>3.2</v>
      </c>
      <c r="M68">
        <v>685379.08</v>
      </c>
      <c r="N68">
        <v>106898.82</v>
      </c>
    </row>
    <row r="69" spans="1:14">
      <c r="A69" t="s">
        <v>38</v>
      </c>
      <c r="B69" s="14">
        <v>45748</v>
      </c>
      <c r="C69" t="s">
        <v>27</v>
      </c>
      <c r="D69" t="s">
        <v>18</v>
      </c>
      <c r="E69">
        <v>42018.400000000001</v>
      </c>
      <c r="F69">
        <v>8296</v>
      </c>
      <c r="G69">
        <v>0.115</v>
      </c>
      <c r="H69">
        <v>17</v>
      </c>
      <c r="I69">
        <v>91.8</v>
      </c>
      <c r="J69">
        <v>0.77</v>
      </c>
      <c r="K69">
        <v>0</v>
      </c>
      <c r="L69">
        <v>3.4</v>
      </c>
      <c r="M69">
        <v>740496.65</v>
      </c>
      <c r="N69">
        <v>128020.9</v>
      </c>
    </row>
    <row r="70" spans="1:14">
      <c r="A70" t="s">
        <v>39</v>
      </c>
      <c r="B70" s="14">
        <v>45658</v>
      </c>
      <c r="C70" t="s">
        <v>15</v>
      </c>
      <c r="D70" t="s">
        <v>18</v>
      </c>
      <c r="E70">
        <v>70937.240000000005</v>
      </c>
      <c r="F70">
        <v>3595</v>
      </c>
      <c r="G70">
        <v>0.14099999999999999</v>
      </c>
      <c r="H70">
        <v>11</v>
      </c>
      <c r="I70">
        <v>88.9</v>
      </c>
      <c r="J70">
        <v>2.83</v>
      </c>
      <c r="K70">
        <v>1</v>
      </c>
      <c r="L70">
        <v>3.3</v>
      </c>
      <c r="M70">
        <v>661927.14</v>
      </c>
      <c r="N70">
        <v>79218.570000000007</v>
      </c>
    </row>
    <row r="71" spans="1:14">
      <c r="A71" t="s">
        <v>39</v>
      </c>
      <c r="B71" s="14">
        <v>45689</v>
      </c>
      <c r="C71" t="s">
        <v>15</v>
      </c>
      <c r="D71" t="s">
        <v>18</v>
      </c>
      <c r="E71">
        <v>36813.449999999997</v>
      </c>
      <c r="F71">
        <v>2834</v>
      </c>
      <c r="G71">
        <v>0.191</v>
      </c>
      <c r="H71">
        <v>11</v>
      </c>
      <c r="I71">
        <v>81.8</v>
      </c>
      <c r="J71">
        <v>2.33</v>
      </c>
      <c r="K71">
        <v>0</v>
      </c>
      <c r="L71">
        <v>3.3</v>
      </c>
      <c r="M71">
        <v>479050.5</v>
      </c>
      <c r="N71">
        <v>53651.11</v>
      </c>
    </row>
    <row r="72" spans="1:14">
      <c r="A72" t="s">
        <v>39</v>
      </c>
      <c r="B72" s="14">
        <v>45717</v>
      </c>
      <c r="C72" t="s">
        <v>15</v>
      </c>
      <c r="D72" t="s">
        <v>18</v>
      </c>
      <c r="E72">
        <v>60571.82</v>
      </c>
      <c r="F72">
        <v>3193</v>
      </c>
      <c r="G72">
        <v>0.19700000000000001</v>
      </c>
      <c r="H72">
        <v>7</v>
      </c>
      <c r="I72">
        <v>99</v>
      </c>
      <c r="J72">
        <v>1.43</v>
      </c>
      <c r="K72">
        <v>0</v>
      </c>
      <c r="L72">
        <v>3.2</v>
      </c>
      <c r="M72">
        <v>605023.87</v>
      </c>
      <c r="N72">
        <v>98545.81</v>
      </c>
    </row>
    <row r="73" spans="1:14">
      <c r="A73" t="s">
        <v>39</v>
      </c>
      <c r="B73" s="14">
        <v>45748</v>
      </c>
      <c r="C73" t="s">
        <v>15</v>
      </c>
      <c r="D73" t="s">
        <v>18</v>
      </c>
      <c r="E73">
        <v>55081.16</v>
      </c>
      <c r="F73">
        <v>5485</v>
      </c>
      <c r="G73">
        <v>3.5999999999999997E-2</v>
      </c>
      <c r="H73">
        <v>12</v>
      </c>
      <c r="I73">
        <v>88</v>
      </c>
      <c r="J73">
        <v>3.3650000000000002</v>
      </c>
      <c r="K73">
        <v>0</v>
      </c>
      <c r="L73">
        <v>3.5</v>
      </c>
      <c r="M73">
        <v>674774.09</v>
      </c>
      <c r="N73">
        <v>141917.59</v>
      </c>
    </row>
    <row r="74" spans="1:14">
      <c r="A74" t="s">
        <v>40</v>
      </c>
      <c r="B74" s="14">
        <v>45658</v>
      </c>
      <c r="C74" t="s">
        <v>15</v>
      </c>
      <c r="D74" t="s">
        <v>16</v>
      </c>
      <c r="E74">
        <v>46201.46</v>
      </c>
      <c r="F74">
        <v>5918</v>
      </c>
      <c r="G74">
        <v>0.27700000000000002</v>
      </c>
      <c r="H74">
        <v>13</v>
      </c>
      <c r="I74">
        <v>78.8</v>
      </c>
      <c r="J74">
        <v>4.91</v>
      </c>
      <c r="K74">
        <v>0</v>
      </c>
      <c r="L74">
        <v>4.5</v>
      </c>
      <c r="M74">
        <v>616069.41</v>
      </c>
      <c r="N74">
        <v>54453.99</v>
      </c>
    </row>
    <row r="75" spans="1:14">
      <c r="A75" t="s">
        <v>40</v>
      </c>
      <c r="B75" s="14">
        <v>45689</v>
      </c>
      <c r="C75" t="s">
        <v>15</v>
      </c>
      <c r="D75" t="s">
        <v>16</v>
      </c>
      <c r="E75">
        <v>53762.92</v>
      </c>
      <c r="F75">
        <v>6821</v>
      </c>
      <c r="G75">
        <v>6.6000000000000003E-2</v>
      </c>
      <c r="H75">
        <v>19</v>
      </c>
      <c r="I75">
        <v>94.6</v>
      </c>
      <c r="J75">
        <v>7.03</v>
      </c>
      <c r="K75">
        <v>0</v>
      </c>
      <c r="L75">
        <v>4.4000000000000004</v>
      </c>
      <c r="M75">
        <v>630829.93999999994</v>
      </c>
      <c r="N75">
        <v>117090.02</v>
      </c>
    </row>
    <row r="76" spans="1:14">
      <c r="A76" t="s">
        <v>40</v>
      </c>
      <c r="B76" s="14">
        <v>45717</v>
      </c>
      <c r="C76" t="s">
        <v>15</v>
      </c>
      <c r="D76" t="s">
        <v>16</v>
      </c>
      <c r="E76">
        <v>70144.78</v>
      </c>
      <c r="F76">
        <v>6806</v>
      </c>
      <c r="G76">
        <v>0.17799999999999999</v>
      </c>
      <c r="H76">
        <v>20</v>
      </c>
      <c r="I76">
        <v>93.1</v>
      </c>
      <c r="J76">
        <v>0.28000000000000003</v>
      </c>
      <c r="K76">
        <v>1</v>
      </c>
      <c r="L76">
        <v>4.3</v>
      </c>
      <c r="M76">
        <v>788087.68</v>
      </c>
      <c r="N76">
        <v>116803.42</v>
      </c>
    </row>
    <row r="77" spans="1:14">
      <c r="A77" t="s">
        <v>40</v>
      </c>
      <c r="B77" s="14">
        <v>45748</v>
      </c>
      <c r="C77" t="s">
        <v>15</v>
      </c>
      <c r="D77" t="s">
        <v>16</v>
      </c>
      <c r="E77">
        <v>58749.63</v>
      </c>
      <c r="F77">
        <v>8252</v>
      </c>
      <c r="G77">
        <v>0.20300000000000001</v>
      </c>
      <c r="H77">
        <v>20</v>
      </c>
      <c r="I77">
        <v>85.2</v>
      </c>
      <c r="J77">
        <v>3.61</v>
      </c>
      <c r="K77">
        <v>0</v>
      </c>
      <c r="L77">
        <v>4.5</v>
      </c>
      <c r="M77">
        <v>680840.36</v>
      </c>
      <c r="N77">
        <v>68007.679999999993</v>
      </c>
    </row>
    <row r="78" spans="1:14">
      <c r="A78" t="s">
        <v>41</v>
      </c>
      <c r="B78" s="14">
        <v>45658</v>
      </c>
      <c r="C78" t="s">
        <v>24</v>
      </c>
      <c r="D78" t="s">
        <v>18</v>
      </c>
      <c r="E78">
        <v>56973.18</v>
      </c>
      <c r="F78">
        <v>6662</v>
      </c>
      <c r="G78">
        <v>0.1</v>
      </c>
      <c r="H78">
        <v>15</v>
      </c>
      <c r="I78">
        <v>77.7</v>
      </c>
      <c r="J78">
        <v>7.52</v>
      </c>
      <c r="K78">
        <v>1</v>
      </c>
      <c r="L78">
        <v>3.2</v>
      </c>
      <c r="M78">
        <v>643657.47</v>
      </c>
      <c r="N78">
        <v>87022.45</v>
      </c>
    </row>
    <row r="79" spans="1:14">
      <c r="A79" t="s">
        <v>41</v>
      </c>
      <c r="B79" s="14">
        <v>45689</v>
      </c>
      <c r="C79" t="s">
        <v>24</v>
      </c>
      <c r="D79" t="s">
        <v>18</v>
      </c>
      <c r="E79">
        <v>54872.82</v>
      </c>
      <c r="F79">
        <v>5962</v>
      </c>
      <c r="G79">
        <v>6.4000000000000001E-2</v>
      </c>
      <c r="H79">
        <v>12</v>
      </c>
      <c r="I79">
        <v>85.4</v>
      </c>
      <c r="J79">
        <v>2.58</v>
      </c>
      <c r="K79">
        <v>0</v>
      </c>
      <c r="L79">
        <v>2.9</v>
      </c>
      <c r="M79">
        <v>691112.6</v>
      </c>
      <c r="N79">
        <v>109212.83</v>
      </c>
    </row>
    <row r="80" spans="1:14">
      <c r="A80" t="s">
        <v>41</v>
      </c>
      <c r="B80" s="14">
        <v>45717</v>
      </c>
      <c r="C80" t="s">
        <v>24</v>
      </c>
      <c r="D80" t="s">
        <v>18</v>
      </c>
      <c r="E80">
        <v>80562.81</v>
      </c>
      <c r="F80">
        <v>7470</v>
      </c>
      <c r="G80">
        <v>0.17199999999999999</v>
      </c>
      <c r="H80">
        <v>16</v>
      </c>
      <c r="I80">
        <v>83.5</v>
      </c>
      <c r="J80">
        <v>2.29</v>
      </c>
      <c r="K80">
        <v>0</v>
      </c>
      <c r="L80">
        <v>3.3</v>
      </c>
      <c r="M80">
        <v>776922.17</v>
      </c>
      <c r="N80">
        <v>150701.93</v>
      </c>
    </row>
    <row r="81" spans="1:14">
      <c r="A81" t="s">
        <v>41</v>
      </c>
      <c r="B81" s="14">
        <v>45748</v>
      </c>
      <c r="C81" t="s">
        <v>24</v>
      </c>
      <c r="D81" t="s">
        <v>18</v>
      </c>
      <c r="E81">
        <v>77999.899999999994</v>
      </c>
      <c r="F81">
        <v>5974</v>
      </c>
      <c r="G81">
        <v>0.252</v>
      </c>
      <c r="H81">
        <v>14</v>
      </c>
      <c r="I81">
        <v>81.3</v>
      </c>
      <c r="J81">
        <v>2.39</v>
      </c>
      <c r="K81">
        <v>0</v>
      </c>
      <c r="L81">
        <v>3.2</v>
      </c>
      <c r="M81">
        <v>636561.34</v>
      </c>
      <c r="N81">
        <v>93861.06</v>
      </c>
    </row>
    <row r="82" spans="1:14">
      <c r="A82" t="s">
        <v>42</v>
      </c>
      <c r="B82" s="14">
        <v>45658</v>
      </c>
      <c r="C82" t="s">
        <v>27</v>
      </c>
      <c r="D82" t="s">
        <v>28</v>
      </c>
      <c r="E82">
        <v>60881.01</v>
      </c>
      <c r="F82">
        <v>5410</v>
      </c>
      <c r="G82">
        <v>0.17899999999999999</v>
      </c>
      <c r="H82">
        <v>15</v>
      </c>
      <c r="I82">
        <v>83.9</v>
      </c>
      <c r="J82">
        <v>5.24</v>
      </c>
      <c r="K82">
        <v>0</v>
      </c>
      <c r="L82">
        <v>4.5999999999999996</v>
      </c>
      <c r="M82">
        <v>621369.57999999996</v>
      </c>
      <c r="N82">
        <v>85493.64</v>
      </c>
    </row>
    <row r="83" spans="1:14">
      <c r="A83" t="s">
        <v>42</v>
      </c>
      <c r="B83" s="14">
        <v>45689</v>
      </c>
      <c r="C83" t="s">
        <v>27</v>
      </c>
      <c r="D83" t="s">
        <v>28</v>
      </c>
      <c r="E83">
        <v>60628.38</v>
      </c>
      <c r="F83">
        <v>4451</v>
      </c>
      <c r="G83">
        <v>9.5000000000000001E-2</v>
      </c>
      <c r="H83">
        <v>10</v>
      </c>
      <c r="I83">
        <v>89.6</v>
      </c>
      <c r="J83">
        <v>3.17</v>
      </c>
      <c r="K83">
        <v>0</v>
      </c>
      <c r="L83">
        <v>4.5999999999999996</v>
      </c>
      <c r="M83">
        <v>682208.01</v>
      </c>
      <c r="N83">
        <v>110318.84</v>
      </c>
    </row>
    <row r="84" spans="1:14">
      <c r="A84" t="s">
        <v>42</v>
      </c>
      <c r="B84" s="14">
        <v>45717</v>
      </c>
      <c r="C84" t="s">
        <v>27</v>
      </c>
      <c r="D84" t="s">
        <v>28</v>
      </c>
      <c r="E84">
        <v>72731.14</v>
      </c>
      <c r="F84">
        <v>4644</v>
      </c>
      <c r="G84">
        <v>8.4000000000000005E-2</v>
      </c>
      <c r="H84">
        <v>15</v>
      </c>
      <c r="I84">
        <v>87.1</v>
      </c>
      <c r="J84">
        <v>2.66</v>
      </c>
      <c r="K84">
        <v>0</v>
      </c>
      <c r="L84">
        <v>4.5999999999999996</v>
      </c>
      <c r="M84">
        <v>727241.86</v>
      </c>
      <c r="N84">
        <v>155810.29999999999</v>
      </c>
    </row>
    <row r="85" spans="1:14">
      <c r="A85" t="s">
        <v>42</v>
      </c>
      <c r="B85" s="14">
        <v>45748</v>
      </c>
      <c r="C85" t="s">
        <v>27</v>
      </c>
      <c r="D85" t="s">
        <v>28</v>
      </c>
      <c r="E85">
        <v>36475.71</v>
      </c>
      <c r="F85">
        <v>3559</v>
      </c>
      <c r="G85">
        <v>0.03</v>
      </c>
      <c r="H85">
        <v>8</v>
      </c>
      <c r="I85">
        <v>83.6</v>
      </c>
      <c r="J85">
        <v>1.41</v>
      </c>
      <c r="K85">
        <v>0</v>
      </c>
      <c r="L85">
        <v>4.2</v>
      </c>
      <c r="M85">
        <v>569100.78</v>
      </c>
      <c r="N85">
        <v>104808.78</v>
      </c>
    </row>
    <row r="86" spans="1:14">
      <c r="A86" t="s">
        <v>43</v>
      </c>
      <c r="B86" s="14">
        <v>45658</v>
      </c>
      <c r="C86" t="s">
        <v>27</v>
      </c>
      <c r="D86" t="s">
        <v>18</v>
      </c>
      <c r="E86">
        <v>55388.11</v>
      </c>
      <c r="F86">
        <v>3091</v>
      </c>
      <c r="G86">
        <v>0.108</v>
      </c>
      <c r="H86">
        <v>7</v>
      </c>
      <c r="I86">
        <v>85.4</v>
      </c>
      <c r="J86">
        <v>7.34</v>
      </c>
      <c r="K86">
        <v>0</v>
      </c>
      <c r="L86">
        <v>4.9000000000000004</v>
      </c>
      <c r="M86">
        <v>574436.29</v>
      </c>
      <c r="N86">
        <v>80271.990000000005</v>
      </c>
    </row>
    <row r="87" spans="1:14">
      <c r="A87" t="s">
        <v>43</v>
      </c>
      <c r="B87" s="14">
        <v>45689</v>
      </c>
      <c r="C87" t="s">
        <v>27</v>
      </c>
      <c r="D87" t="s">
        <v>18</v>
      </c>
      <c r="E87">
        <v>88443.77</v>
      </c>
      <c r="F87">
        <v>4004</v>
      </c>
      <c r="G87">
        <v>0.20599999999999999</v>
      </c>
      <c r="H87">
        <v>11</v>
      </c>
      <c r="I87">
        <v>91.9</v>
      </c>
      <c r="J87">
        <v>5.95</v>
      </c>
      <c r="K87">
        <v>0</v>
      </c>
      <c r="L87">
        <v>3.92</v>
      </c>
      <c r="M87">
        <v>611766.72</v>
      </c>
      <c r="N87">
        <v>88275.61</v>
      </c>
    </row>
    <row r="88" spans="1:14">
      <c r="A88" t="s">
        <v>43</v>
      </c>
      <c r="B88" s="14">
        <v>45717</v>
      </c>
      <c r="C88" t="s">
        <v>27</v>
      </c>
      <c r="D88" t="s">
        <v>18</v>
      </c>
      <c r="E88">
        <v>78231.91</v>
      </c>
      <c r="F88">
        <v>3788</v>
      </c>
      <c r="G88">
        <v>5.8999999999999997E-2</v>
      </c>
      <c r="H88">
        <v>11</v>
      </c>
      <c r="I88">
        <v>88.5</v>
      </c>
      <c r="J88">
        <v>15.51</v>
      </c>
      <c r="K88">
        <v>0</v>
      </c>
      <c r="L88">
        <v>4.3</v>
      </c>
      <c r="M88">
        <v>614596.31999999995</v>
      </c>
      <c r="N88">
        <v>131199.41</v>
      </c>
    </row>
    <row r="89" spans="1:14">
      <c r="A89" t="s">
        <v>43</v>
      </c>
      <c r="B89" s="14">
        <v>45748</v>
      </c>
      <c r="C89" t="s">
        <v>27</v>
      </c>
      <c r="D89" t="s">
        <v>18</v>
      </c>
      <c r="E89">
        <v>18996.32</v>
      </c>
      <c r="F89">
        <v>1260</v>
      </c>
      <c r="G89">
        <v>0.14499999999999999</v>
      </c>
      <c r="H89">
        <v>9</v>
      </c>
      <c r="I89">
        <v>86.4</v>
      </c>
      <c r="J89">
        <v>4.3099999999999996</v>
      </c>
      <c r="K89">
        <v>0</v>
      </c>
      <c r="L89">
        <v>4.5999999999999996</v>
      </c>
      <c r="M89">
        <v>450711.92</v>
      </c>
      <c r="N89">
        <v>90043.76</v>
      </c>
    </row>
    <row r="90" spans="1:14">
      <c r="A90" t="s">
        <v>44</v>
      </c>
      <c r="B90" s="14">
        <v>45658</v>
      </c>
      <c r="C90" t="s">
        <v>24</v>
      </c>
      <c r="D90" t="s">
        <v>28</v>
      </c>
      <c r="E90">
        <v>50517.94</v>
      </c>
      <c r="F90">
        <v>7024</v>
      </c>
      <c r="G90">
        <v>2.9000000000000001E-2</v>
      </c>
      <c r="H90">
        <v>18</v>
      </c>
      <c r="I90">
        <v>79.2</v>
      </c>
      <c r="J90">
        <v>6.61</v>
      </c>
      <c r="K90">
        <v>1</v>
      </c>
      <c r="L90">
        <v>4.0999999999999996</v>
      </c>
      <c r="M90">
        <v>711213.46</v>
      </c>
      <c r="N90">
        <v>105863.26</v>
      </c>
    </row>
    <row r="91" spans="1:14">
      <c r="A91" t="s">
        <v>44</v>
      </c>
      <c r="B91" s="14">
        <v>45689</v>
      </c>
      <c r="C91" t="s">
        <v>24</v>
      </c>
      <c r="D91" t="s">
        <v>28</v>
      </c>
      <c r="E91">
        <v>141540.29</v>
      </c>
      <c r="F91">
        <v>5400</v>
      </c>
      <c r="G91">
        <v>1.2999999999999999E-2</v>
      </c>
      <c r="H91">
        <v>12</v>
      </c>
      <c r="I91">
        <v>87</v>
      </c>
      <c r="J91">
        <v>4.26</v>
      </c>
      <c r="K91">
        <v>0</v>
      </c>
      <c r="L91">
        <v>4.5</v>
      </c>
      <c r="M91">
        <v>627171.9</v>
      </c>
      <c r="N91">
        <v>105772.75</v>
      </c>
    </row>
    <row r="92" spans="1:14">
      <c r="A92" t="s">
        <v>44</v>
      </c>
      <c r="B92" s="14">
        <v>45717</v>
      </c>
      <c r="C92" t="s">
        <v>24</v>
      </c>
      <c r="D92" t="s">
        <v>28</v>
      </c>
      <c r="E92">
        <v>82116.19</v>
      </c>
      <c r="F92">
        <v>5988</v>
      </c>
      <c r="G92">
        <v>0.04</v>
      </c>
      <c r="H92">
        <v>17</v>
      </c>
      <c r="I92">
        <v>91.8</v>
      </c>
      <c r="J92">
        <v>5.75</v>
      </c>
      <c r="K92">
        <v>0</v>
      </c>
      <c r="L92">
        <v>4.7</v>
      </c>
      <c r="M92">
        <v>739852.58</v>
      </c>
      <c r="N92">
        <v>129386.43</v>
      </c>
    </row>
    <row r="93" spans="1:14">
      <c r="A93" t="s">
        <v>44</v>
      </c>
      <c r="B93" s="14">
        <v>45748</v>
      </c>
      <c r="C93" t="s">
        <v>24</v>
      </c>
      <c r="D93" t="s">
        <v>28</v>
      </c>
      <c r="E93">
        <v>31207.51</v>
      </c>
      <c r="F93">
        <v>3701</v>
      </c>
      <c r="G93">
        <v>4.2999999999999997E-2</v>
      </c>
      <c r="H93">
        <v>11</v>
      </c>
      <c r="I93">
        <v>84.7</v>
      </c>
      <c r="J93">
        <v>0.33</v>
      </c>
      <c r="K93">
        <v>0</v>
      </c>
      <c r="L93">
        <v>4.3</v>
      </c>
      <c r="M93">
        <v>586307.22</v>
      </c>
      <c r="N93">
        <v>73927.850000000006</v>
      </c>
    </row>
    <row r="94" spans="1:14">
      <c r="A94" t="s">
        <v>45</v>
      </c>
      <c r="B94" s="14">
        <v>45658</v>
      </c>
      <c r="C94" t="s">
        <v>27</v>
      </c>
      <c r="D94" t="s">
        <v>16</v>
      </c>
      <c r="E94">
        <v>38966.589999999997</v>
      </c>
      <c r="F94">
        <v>4509</v>
      </c>
      <c r="G94">
        <v>0.19400000000000001</v>
      </c>
      <c r="H94">
        <v>14</v>
      </c>
      <c r="I94">
        <v>91.1</v>
      </c>
      <c r="J94">
        <v>2.92</v>
      </c>
      <c r="K94">
        <v>0</v>
      </c>
      <c r="L94">
        <v>4.5999999999999996</v>
      </c>
      <c r="M94">
        <v>585937.48</v>
      </c>
      <c r="N94">
        <v>82624.2</v>
      </c>
    </row>
    <row r="95" spans="1:14">
      <c r="A95" t="s">
        <v>45</v>
      </c>
      <c r="B95" s="14">
        <v>45689</v>
      </c>
      <c r="C95" t="s">
        <v>27</v>
      </c>
      <c r="D95" t="s">
        <v>16</v>
      </c>
      <c r="E95">
        <v>67439.3</v>
      </c>
      <c r="F95">
        <v>6477</v>
      </c>
      <c r="G95">
        <v>0</v>
      </c>
      <c r="H95">
        <v>16</v>
      </c>
      <c r="I95">
        <v>90.9</v>
      </c>
      <c r="J95">
        <v>1.64</v>
      </c>
      <c r="K95">
        <v>0</v>
      </c>
      <c r="L95">
        <v>4.5</v>
      </c>
      <c r="M95">
        <v>753473.55</v>
      </c>
      <c r="N95">
        <v>151527.22</v>
      </c>
    </row>
    <row r="96" spans="1:14">
      <c r="A96" t="s">
        <v>45</v>
      </c>
      <c r="B96" s="14">
        <v>45717</v>
      </c>
      <c r="C96" t="s">
        <v>27</v>
      </c>
      <c r="D96" t="s">
        <v>16</v>
      </c>
      <c r="E96">
        <v>86421.88</v>
      </c>
      <c r="F96">
        <v>7970</v>
      </c>
      <c r="G96">
        <v>7.2999999999999995E-2</v>
      </c>
      <c r="H96">
        <v>17</v>
      </c>
      <c r="I96">
        <v>91.3</v>
      </c>
      <c r="J96">
        <v>0.8</v>
      </c>
      <c r="K96">
        <v>0</v>
      </c>
      <c r="L96">
        <v>5</v>
      </c>
      <c r="M96">
        <v>838250.32</v>
      </c>
      <c r="N96">
        <v>122939.34</v>
      </c>
    </row>
    <row r="97" spans="1:14">
      <c r="A97" t="s">
        <v>45</v>
      </c>
      <c r="B97" s="14">
        <v>45748</v>
      </c>
      <c r="C97" t="s">
        <v>27</v>
      </c>
      <c r="D97" t="s">
        <v>16</v>
      </c>
      <c r="E97">
        <v>9534.65</v>
      </c>
      <c r="F97">
        <v>6057</v>
      </c>
      <c r="G97">
        <v>7.3999999999999996E-2</v>
      </c>
      <c r="H97">
        <v>15</v>
      </c>
      <c r="I97">
        <v>94.1</v>
      </c>
      <c r="J97">
        <v>5.79</v>
      </c>
      <c r="K97">
        <v>0</v>
      </c>
      <c r="L97">
        <v>4.5</v>
      </c>
      <c r="M97">
        <v>607898.12</v>
      </c>
      <c r="N97">
        <v>135404.85</v>
      </c>
    </row>
    <row r="98" spans="1:14">
      <c r="A98" t="s">
        <v>46</v>
      </c>
      <c r="B98" s="14">
        <v>45658</v>
      </c>
      <c r="C98" t="s">
        <v>27</v>
      </c>
      <c r="D98" t="s">
        <v>28</v>
      </c>
      <c r="E98">
        <v>61132.07</v>
      </c>
      <c r="F98">
        <v>6394</v>
      </c>
      <c r="G98">
        <v>0.16300000000000001</v>
      </c>
      <c r="H98">
        <v>19</v>
      </c>
      <c r="I98">
        <v>91</v>
      </c>
      <c r="J98">
        <v>19.600000000000001</v>
      </c>
      <c r="K98">
        <v>0</v>
      </c>
      <c r="L98">
        <v>4.4000000000000004</v>
      </c>
      <c r="M98">
        <v>691113.62</v>
      </c>
      <c r="N98">
        <v>135145.44</v>
      </c>
    </row>
    <row r="99" spans="1:14">
      <c r="A99" t="s">
        <v>46</v>
      </c>
      <c r="B99" s="14">
        <v>45689</v>
      </c>
      <c r="C99" t="s">
        <v>27</v>
      </c>
      <c r="D99" t="s">
        <v>28</v>
      </c>
      <c r="E99">
        <v>78839.39</v>
      </c>
      <c r="F99">
        <v>5150</v>
      </c>
      <c r="G99">
        <v>0.17100000000000001</v>
      </c>
      <c r="H99">
        <v>13</v>
      </c>
      <c r="I99">
        <v>85.8</v>
      </c>
      <c r="J99">
        <v>7.57</v>
      </c>
      <c r="K99">
        <v>0</v>
      </c>
      <c r="L99">
        <v>4.3</v>
      </c>
      <c r="M99">
        <v>735509.4</v>
      </c>
      <c r="N99">
        <v>83895.96</v>
      </c>
    </row>
    <row r="100" spans="1:14">
      <c r="A100" t="s">
        <v>46</v>
      </c>
      <c r="B100" s="14">
        <v>45717</v>
      </c>
      <c r="C100" t="s">
        <v>27</v>
      </c>
      <c r="D100" t="s">
        <v>28</v>
      </c>
      <c r="E100">
        <v>38752.800000000003</v>
      </c>
      <c r="F100">
        <v>4712</v>
      </c>
      <c r="G100">
        <v>7.4999999999999997E-2</v>
      </c>
      <c r="H100">
        <v>15</v>
      </c>
      <c r="I100">
        <v>89.7</v>
      </c>
      <c r="J100">
        <v>3.3650000000000002</v>
      </c>
      <c r="K100">
        <v>0</v>
      </c>
      <c r="L100">
        <v>4.3</v>
      </c>
      <c r="M100">
        <v>605775.32999999996</v>
      </c>
      <c r="N100">
        <v>107194.6</v>
      </c>
    </row>
    <row r="101" spans="1:14">
      <c r="A101" t="s">
        <v>46</v>
      </c>
      <c r="B101" s="14">
        <v>45748</v>
      </c>
      <c r="C101" t="s">
        <v>27</v>
      </c>
      <c r="D101" t="s">
        <v>28</v>
      </c>
      <c r="E101">
        <v>55101.1</v>
      </c>
      <c r="F101">
        <v>5281</v>
      </c>
      <c r="G101">
        <v>0.189</v>
      </c>
      <c r="H101">
        <v>11</v>
      </c>
      <c r="I101">
        <v>91</v>
      </c>
      <c r="J101">
        <v>2.7</v>
      </c>
      <c r="K101">
        <v>0</v>
      </c>
      <c r="L101">
        <v>4.4000000000000004</v>
      </c>
      <c r="M101">
        <v>675177.68</v>
      </c>
      <c r="N101">
        <v>105628.68</v>
      </c>
    </row>
    <row r="102" spans="1:14">
      <c r="A102" t="s">
        <v>47</v>
      </c>
      <c r="B102" s="14">
        <v>45658</v>
      </c>
      <c r="C102" t="s">
        <v>15</v>
      </c>
      <c r="D102" t="s">
        <v>28</v>
      </c>
      <c r="E102">
        <v>53084.76</v>
      </c>
      <c r="F102">
        <v>3642</v>
      </c>
      <c r="G102">
        <v>0.15</v>
      </c>
      <c r="H102">
        <v>12</v>
      </c>
      <c r="I102">
        <v>91.4</v>
      </c>
      <c r="J102">
        <v>0.2</v>
      </c>
      <c r="K102">
        <v>0</v>
      </c>
      <c r="L102">
        <v>4.4000000000000004</v>
      </c>
      <c r="M102">
        <v>635181.35</v>
      </c>
      <c r="N102">
        <v>83341.25</v>
      </c>
    </row>
    <row r="103" spans="1:14">
      <c r="A103" t="s">
        <v>47</v>
      </c>
      <c r="B103" s="14">
        <v>45689</v>
      </c>
      <c r="C103" t="s">
        <v>15</v>
      </c>
      <c r="D103" t="s">
        <v>28</v>
      </c>
      <c r="E103">
        <v>63101.59</v>
      </c>
      <c r="F103">
        <v>4373</v>
      </c>
      <c r="G103">
        <v>0.17299999999999999</v>
      </c>
      <c r="H103">
        <v>14</v>
      </c>
      <c r="I103">
        <v>90.4</v>
      </c>
      <c r="J103">
        <v>7.87</v>
      </c>
      <c r="K103">
        <v>0</v>
      </c>
      <c r="L103">
        <v>4.7</v>
      </c>
      <c r="M103">
        <v>586626.93999999994</v>
      </c>
      <c r="N103">
        <v>86498.55</v>
      </c>
    </row>
    <row r="104" spans="1:14">
      <c r="A104" t="s">
        <v>47</v>
      </c>
      <c r="B104" s="14">
        <v>45717</v>
      </c>
      <c r="C104" t="s">
        <v>15</v>
      </c>
      <c r="D104" t="s">
        <v>28</v>
      </c>
      <c r="E104">
        <v>90084.4</v>
      </c>
      <c r="F104">
        <v>6832</v>
      </c>
      <c r="G104">
        <v>0.185</v>
      </c>
      <c r="H104">
        <v>14</v>
      </c>
      <c r="I104">
        <v>80.5</v>
      </c>
      <c r="J104">
        <v>0.77</v>
      </c>
      <c r="K104">
        <v>1</v>
      </c>
      <c r="L104">
        <v>4.4000000000000004</v>
      </c>
      <c r="M104">
        <v>740102.64</v>
      </c>
      <c r="N104">
        <v>114299.07</v>
      </c>
    </row>
    <row r="105" spans="1:14">
      <c r="A105" t="s">
        <v>47</v>
      </c>
      <c r="B105" s="14">
        <v>45748</v>
      </c>
      <c r="C105" t="s">
        <v>15</v>
      </c>
      <c r="D105" t="s">
        <v>28</v>
      </c>
      <c r="E105">
        <v>32266.639999999999</v>
      </c>
      <c r="F105">
        <v>2414</v>
      </c>
      <c r="G105">
        <v>0.08</v>
      </c>
      <c r="H105">
        <v>7</v>
      </c>
      <c r="I105">
        <v>92.1</v>
      </c>
      <c r="J105">
        <v>1.48</v>
      </c>
      <c r="K105">
        <v>0</v>
      </c>
      <c r="L105">
        <v>5</v>
      </c>
      <c r="M105">
        <v>625514.04</v>
      </c>
      <c r="N105">
        <v>120685.08</v>
      </c>
    </row>
    <row r="106" spans="1:14">
      <c r="A106" t="s">
        <v>48</v>
      </c>
      <c r="B106" s="14">
        <v>45658</v>
      </c>
      <c r="C106" t="s">
        <v>27</v>
      </c>
      <c r="D106" t="s">
        <v>18</v>
      </c>
      <c r="E106">
        <v>57919.07</v>
      </c>
      <c r="F106">
        <v>7374</v>
      </c>
      <c r="G106">
        <v>0.10299999999999999</v>
      </c>
      <c r="H106">
        <v>21</v>
      </c>
      <c r="I106">
        <v>82.3</v>
      </c>
      <c r="J106">
        <v>2.87</v>
      </c>
      <c r="K106">
        <v>0</v>
      </c>
      <c r="L106">
        <v>2.9</v>
      </c>
      <c r="M106">
        <v>727227.2</v>
      </c>
      <c r="N106">
        <v>121292.01</v>
      </c>
    </row>
    <row r="107" spans="1:14">
      <c r="A107" t="s">
        <v>48</v>
      </c>
      <c r="B107" s="14">
        <v>45689</v>
      </c>
      <c r="C107" t="s">
        <v>27</v>
      </c>
      <c r="D107" t="s">
        <v>18</v>
      </c>
      <c r="E107">
        <v>74679.350000000006</v>
      </c>
      <c r="F107">
        <v>8739</v>
      </c>
      <c r="G107">
        <v>5.6000000000000001E-2</v>
      </c>
      <c r="H107">
        <v>21</v>
      </c>
      <c r="I107">
        <v>91.8</v>
      </c>
      <c r="J107">
        <v>2.83</v>
      </c>
      <c r="K107">
        <v>0</v>
      </c>
      <c r="L107">
        <v>3</v>
      </c>
      <c r="M107">
        <v>783797.89</v>
      </c>
      <c r="N107">
        <v>157620.70000000001</v>
      </c>
    </row>
    <row r="108" spans="1:14">
      <c r="A108" t="s">
        <v>48</v>
      </c>
      <c r="B108" s="14">
        <v>45717</v>
      </c>
      <c r="C108" t="s">
        <v>27</v>
      </c>
      <c r="D108" t="s">
        <v>18</v>
      </c>
      <c r="E108">
        <v>64294.23</v>
      </c>
      <c r="F108">
        <v>6992</v>
      </c>
      <c r="G108">
        <v>0.13300000000000001</v>
      </c>
      <c r="H108">
        <v>14</v>
      </c>
      <c r="I108">
        <v>94.1</v>
      </c>
      <c r="J108">
        <v>0.25</v>
      </c>
      <c r="K108">
        <v>0</v>
      </c>
      <c r="L108">
        <v>3</v>
      </c>
      <c r="M108">
        <v>795153.84</v>
      </c>
      <c r="N108">
        <v>143194.21</v>
      </c>
    </row>
    <row r="109" spans="1:14">
      <c r="A109" t="s">
        <v>48</v>
      </c>
      <c r="B109" s="14">
        <v>45748</v>
      </c>
      <c r="C109" t="s">
        <v>27</v>
      </c>
      <c r="D109" t="s">
        <v>18</v>
      </c>
      <c r="E109">
        <v>31042.03</v>
      </c>
      <c r="F109">
        <v>7107</v>
      </c>
      <c r="G109">
        <v>5.0999999999999997E-2</v>
      </c>
      <c r="H109">
        <v>15</v>
      </c>
      <c r="I109">
        <v>87</v>
      </c>
      <c r="J109">
        <v>13.33</v>
      </c>
      <c r="K109">
        <v>0</v>
      </c>
      <c r="L109">
        <v>3.2</v>
      </c>
      <c r="M109">
        <v>665594.93999999994</v>
      </c>
      <c r="N109">
        <v>127597.34</v>
      </c>
    </row>
    <row r="110" spans="1:14">
      <c r="A110" t="s">
        <v>49</v>
      </c>
      <c r="B110" s="14">
        <v>45658</v>
      </c>
      <c r="C110" t="s">
        <v>15</v>
      </c>
      <c r="D110" t="s">
        <v>28</v>
      </c>
      <c r="E110">
        <v>75265.02</v>
      </c>
      <c r="F110">
        <v>6975</v>
      </c>
      <c r="G110">
        <v>0.157</v>
      </c>
      <c r="H110">
        <v>20</v>
      </c>
      <c r="I110">
        <v>73.8</v>
      </c>
      <c r="J110">
        <v>6.35</v>
      </c>
      <c r="K110">
        <v>1</v>
      </c>
      <c r="L110">
        <v>3.8</v>
      </c>
      <c r="M110">
        <v>709478.39</v>
      </c>
      <c r="N110">
        <v>71294.27</v>
      </c>
    </row>
    <row r="111" spans="1:14">
      <c r="A111" t="s">
        <v>49</v>
      </c>
      <c r="B111" s="14">
        <v>45689</v>
      </c>
      <c r="C111" t="s">
        <v>15</v>
      </c>
      <c r="D111" t="s">
        <v>28</v>
      </c>
      <c r="E111">
        <v>69411.7</v>
      </c>
      <c r="F111">
        <v>5493</v>
      </c>
      <c r="G111">
        <v>0.29199999999999998</v>
      </c>
      <c r="H111">
        <v>13</v>
      </c>
      <c r="I111">
        <v>86.5</v>
      </c>
      <c r="J111">
        <v>6.69</v>
      </c>
      <c r="K111">
        <v>0</v>
      </c>
      <c r="L111">
        <v>3.8</v>
      </c>
      <c r="M111">
        <v>664162.49</v>
      </c>
      <c r="N111">
        <v>98291.06</v>
      </c>
    </row>
    <row r="112" spans="1:14">
      <c r="A112" t="s">
        <v>49</v>
      </c>
      <c r="B112" s="14">
        <v>45717</v>
      </c>
      <c r="C112" t="s">
        <v>15</v>
      </c>
      <c r="D112" t="s">
        <v>28</v>
      </c>
      <c r="E112">
        <v>51056.15</v>
      </c>
      <c r="F112">
        <v>5686</v>
      </c>
      <c r="G112">
        <v>8.8999999999999996E-2</v>
      </c>
      <c r="H112">
        <v>13</v>
      </c>
      <c r="I112">
        <v>89.9</v>
      </c>
      <c r="J112">
        <v>1.28</v>
      </c>
      <c r="K112">
        <v>0</v>
      </c>
      <c r="L112">
        <v>4.2</v>
      </c>
      <c r="M112">
        <v>633494.21</v>
      </c>
      <c r="N112">
        <v>105739.47</v>
      </c>
    </row>
    <row r="113" spans="1:14">
      <c r="A113" t="s">
        <v>49</v>
      </c>
      <c r="B113" s="14">
        <v>45748</v>
      </c>
      <c r="C113" t="s">
        <v>15</v>
      </c>
      <c r="D113" t="s">
        <v>28</v>
      </c>
      <c r="E113">
        <v>52758.01</v>
      </c>
      <c r="F113">
        <v>4063</v>
      </c>
      <c r="G113">
        <v>5.7000000000000002E-2</v>
      </c>
      <c r="H113">
        <v>12</v>
      </c>
      <c r="I113">
        <v>91.7</v>
      </c>
      <c r="J113">
        <v>0.92</v>
      </c>
      <c r="K113">
        <v>0</v>
      </c>
      <c r="L113">
        <v>3.5</v>
      </c>
      <c r="M113">
        <v>713611.16</v>
      </c>
      <c r="N113">
        <v>129717.18</v>
      </c>
    </row>
    <row r="114" spans="1:14">
      <c r="A114" t="s">
        <v>50</v>
      </c>
      <c r="B114" s="14">
        <v>45658</v>
      </c>
      <c r="C114" t="s">
        <v>27</v>
      </c>
      <c r="D114" t="s">
        <v>28</v>
      </c>
      <c r="E114">
        <v>61426.04</v>
      </c>
      <c r="F114">
        <v>8966</v>
      </c>
      <c r="G114">
        <v>0.17299999999999999</v>
      </c>
      <c r="H114">
        <v>22</v>
      </c>
      <c r="I114">
        <v>76.400000000000006</v>
      </c>
      <c r="J114">
        <v>1.05</v>
      </c>
      <c r="K114">
        <v>0</v>
      </c>
      <c r="L114">
        <v>3.1</v>
      </c>
      <c r="M114">
        <v>778397.97</v>
      </c>
      <c r="N114">
        <v>120044.41</v>
      </c>
    </row>
    <row r="115" spans="1:14">
      <c r="A115" t="s">
        <v>50</v>
      </c>
      <c r="B115" s="14">
        <v>45689</v>
      </c>
      <c r="C115" t="s">
        <v>27</v>
      </c>
      <c r="D115" t="s">
        <v>28</v>
      </c>
      <c r="E115">
        <v>80176.34</v>
      </c>
      <c r="F115">
        <v>9489</v>
      </c>
      <c r="G115">
        <v>0.14199999999999999</v>
      </c>
      <c r="H115">
        <v>22</v>
      </c>
      <c r="I115">
        <v>94.3</v>
      </c>
      <c r="J115">
        <v>2.67</v>
      </c>
      <c r="K115">
        <v>0</v>
      </c>
      <c r="L115">
        <v>3.5</v>
      </c>
      <c r="M115">
        <v>873380.02</v>
      </c>
      <c r="N115">
        <v>149734.76</v>
      </c>
    </row>
    <row r="116" spans="1:14">
      <c r="A116" t="s">
        <v>50</v>
      </c>
      <c r="B116" s="14">
        <v>45717</v>
      </c>
      <c r="C116" t="s">
        <v>27</v>
      </c>
      <c r="D116" t="s">
        <v>28</v>
      </c>
      <c r="E116">
        <v>33605.18</v>
      </c>
      <c r="F116">
        <v>9225</v>
      </c>
      <c r="G116">
        <v>0.159</v>
      </c>
      <c r="H116">
        <v>23</v>
      </c>
      <c r="I116">
        <v>88.4</v>
      </c>
      <c r="J116">
        <v>5.91</v>
      </c>
      <c r="K116">
        <v>0</v>
      </c>
      <c r="L116">
        <v>2.8</v>
      </c>
      <c r="M116">
        <v>697287.9</v>
      </c>
      <c r="N116">
        <v>128208.33</v>
      </c>
    </row>
    <row r="117" spans="1:14">
      <c r="A117" t="s">
        <v>50</v>
      </c>
      <c r="B117" s="14">
        <v>45748</v>
      </c>
      <c r="C117" t="s">
        <v>27</v>
      </c>
      <c r="D117" t="s">
        <v>28</v>
      </c>
      <c r="E117">
        <v>25990.54</v>
      </c>
      <c r="F117">
        <v>9249</v>
      </c>
      <c r="G117">
        <v>0.13900000000000001</v>
      </c>
      <c r="H117">
        <v>23</v>
      </c>
      <c r="I117">
        <v>92.5</v>
      </c>
      <c r="J117">
        <v>6.37</v>
      </c>
      <c r="K117">
        <v>0</v>
      </c>
      <c r="L117">
        <v>3.3</v>
      </c>
      <c r="M117">
        <v>718074.79</v>
      </c>
      <c r="N117">
        <v>115819.87</v>
      </c>
    </row>
    <row r="118" spans="1:14">
      <c r="A118" t="s">
        <v>51</v>
      </c>
      <c r="B118" s="14">
        <v>45658</v>
      </c>
      <c r="C118" t="s">
        <v>27</v>
      </c>
      <c r="D118" t="s">
        <v>16</v>
      </c>
      <c r="E118">
        <v>43685.14</v>
      </c>
      <c r="F118">
        <v>7821</v>
      </c>
      <c r="G118">
        <v>0.19</v>
      </c>
      <c r="H118">
        <v>17</v>
      </c>
      <c r="I118">
        <v>91</v>
      </c>
      <c r="J118">
        <v>2.4900000000000002</v>
      </c>
      <c r="K118">
        <v>1</v>
      </c>
      <c r="L118">
        <v>4.7</v>
      </c>
      <c r="M118">
        <v>714942.43</v>
      </c>
      <c r="N118">
        <v>94697.71</v>
      </c>
    </row>
    <row r="119" spans="1:14">
      <c r="A119" t="s">
        <v>51</v>
      </c>
      <c r="B119" s="14">
        <v>45689</v>
      </c>
      <c r="C119" t="s">
        <v>27</v>
      </c>
      <c r="D119" t="s">
        <v>16</v>
      </c>
      <c r="E119">
        <v>57360.01</v>
      </c>
      <c r="F119">
        <v>8434</v>
      </c>
      <c r="G119">
        <v>0.151</v>
      </c>
      <c r="H119">
        <v>19</v>
      </c>
      <c r="I119">
        <v>84.1</v>
      </c>
      <c r="J119">
        <v>1.56</v>
      </c>
      <c r="K119">
        <v>0</v>
      </c>
      <c r="L119">
        <v>4.7</v>
      </c>
      <c r="M119">
        <v>820519.04</v>
      </c>
      <c r="N119">
        <v>99035.88</v>
      </c>
    </row>
    <row r="120" spans="1:14">
      <c r="A120" t="s">
        <v>51</v>
      </c>
      <c r="B120" s="14">
        <v>45717</v>
      </c>
      <c r="C120" t="s">
        <v>27</v>
      </c>
      <c r="D120" t="s">
        <v>16</v>
      </c>
      <c r="E120">
        <v>42415.47</v>
      </c>
      <c r="F120">
        <v>8512</v>
      </c>
      <c r="G120">
        <v>0.13300000000000001</v>
      </c>
      <c r="H120">
        <v>18</v>
      </c>
      <c r="I120">
        <v>96.8</v>
      </c>
      <c r="J120">
        <v>14.95</v>
      </c>
      <c r="K120">
        <v>0</v>
      </c>
      <c r="L120">
        <v>4.5999999999999996</v>
      </c>
      <c r="M120">
        <v>684217.32</v>
      </c>
      <c r="N120">
        <v>136217.19</v>
      </c>
    </row>
    <row r="121" spans="1:14">
      <c r="A121" t="s">
        <v>51</v>
      </c>
      <c r="B121" s="14">
        <v>45748</v>
      </c>
      <c r="C121" t="s">
        <v>27</v>
      </c>
      <c r="D121" t="s">
        <v>16</v>
      </c>
      <c r="E121">
        <v>54968.98</v>
      </c>
      <c r="F121">
        <v>7816</v>
      </c>
      <c r="G121">
        <v>0.23200000000000001</v>
      </c>
      <c r="H121">
        <v>19</v>
      </c>
      <c r="I121">
        <v>95.7</v>
      </c>
      <c r="J121">
        <v>7.85</v>
      </c>
      <c r="K121">
        <v>0</v>
      </c>
      <c r="L121">
        <v>4.7</v>
      </c>
      <c r="M121">
        <v>735480.19</v>
      </c>
      <c r="N121">
        <v>88342.11</v>
      </c>
    </row>
    <row r="122" spans="1:14">
      <c r="A122" t="s">
        <v>52</v>
      </c>
      <c r="B122" s="14">
        <v>45658</v>
      </c>
      <c r="C122" t="s">
        <v>20</v>
      </c>
      <c r="D122" t="s">
        <v>18</v>
      </c>
      <c r="E122">
        <v>43896.13</v>
      </c>
      <c r="F122">
        <v>3853</v>
      </c>
      <c r="G122">
        <v>8.7999999999999995E-2</v>
      </c>
      <c r="H122">
        <v>13</v>
      </c>
      <c r="I122">
        <v>83</v>
      </c>
      <c r="J122">
        <v>6.8</v>
      </c>
      <c r="K122">
        <v>0</v>
      </c>
      <c r="L122">
        <v>4.4000000000000004</v>
      </c>
      <c r="M122">
        <v>509484.81</v>
      </c>
      <c r="N122">
        <v>85742.36</v>
      </c>
    </row>
    <row r="123" spans="1:14">
      <c r="A123" t="s">
        <v>52</v>
      </c>
      <c r="B123" s="14">
        <v>45689</v>
      </c>
      <c r="C123" t="s">
        <v>20</v>
      </c>
      <c r="D123" t="s">
        <v>18</v>
      </c>
      <c r="E123">
        <v>83044.17</v>
      </c>
      <c r="F123">
        <v>3694</v>
      </c>
      <c r="G123">
        <v>0</v>
      </c>
      <c r="H123">
        <v>14</v>
      </c>
      <c r="I123">
        <v>89.4</v>
      </c>
      <c r="J123">
        <v>2.2000000000000002</v>
      </c>
      <c r="K123">
        <v>0</v>
      </c>
      <c r="L123">
        <v>3.7</v>
      </c>
      <c r="M123">
        <v>654317.09</v>
      </c>
      <c r="N123">
        <v>121446.89</v>
      </c>
    </row>
    <row r="124" spans="1:14">
      <c r="A124" t="s">
        <v>52</v>
      </c>
      <c r="B124" s="14">
        <v>45717</v>
      </c>
      <c r="C124" t="s">
        <v>20</v>
      </c>
      <c r="D124" t="s">
        <v>18</v>
      </c>
      <c r="E124">
        <v>48396.13</v>
      </c>
      <c r="F124">
        <v>4423</v>
      </c>
      <c r="G124">
        <v>6.9000000000000006E-2</v>
      </c>
      <c r="H124">
        <v>15</v>
      </c>
      <c r="I124">
        <v>85.7</v>
      </c>
      <c r="J124">
        <v>1.88</v>
      </c>
      <c r="K124">
        <v>0</v>
      </c>
      <c r="L124">
        <v>3.9</v>
      </c>
      <c r="M124">
        <v>557487.26</v>
      </c>
      <c r="N124">
        <v>76432.19</v>
      </c>
    </row>
    <row r="125" spans="1:14">
      <c r="A125" t="s">
        <v>52</v>
      </c>
      <c r="B125" s="14">
        <v>45748</v>
      </c>
      <c r="C125" t="s">
        <v>20</v>
      </c>
      <c r="D125" t="s">
        <v>18</v>
      </c>
      <c r="E125">
        <v>19063.48</v>
      </c>
      <c r="F125">
        <v>1906</v>
      </c>
      <c r="G125">
        <v>0.216</v>
      </c>
      <c r="H125">
        <v>10</v>
      </c>
      <c r="I125">
        <v>97.8</v>
      </c>
      <c r="J125">
        <v>15.79</v>
      </c>
      <c r="K125">
        <v>0</v>
      </c>
      <c r="L125">
        <v>4.4000000000000004</v>
      </c>
      <c r="M125">
        <v>441275.42</v>
      </c>
      <c r="N125">
        <v>58234.87</v>
      </c>
    </row>
    <row r="126" spans="1:14">
      <c r="A126" t="s">
        <v>53</v>
      </c>
      <c r="B126" s="14">
        <v>45658</v>
      </c>
      <c r="C126" t="s">
        <v>24</v>
      </c>
      <c r="D126" t="s">
        <v>18</v>
      </c>
      <c r="E126">
        <v>61541.21</v>
      </c>
      <c r="F126">
        <v>10396</v>
      </c>
      <c r="G126">
        <v>0.123</v>
      </c>
      <c r="H126">
        <v>25</v>
      </c>
      <c r="I126">
        <v>88.1</v>
      </c>
      <c r="J126">
        <v>2.34</v>
      </c>
      <c r="K126">
        <v>1</v>
      </c>
      <c r="L126">
        <v>4.8</v>
      </c>
      <c r="M126">
        <v>914544.17</v>
      </c>
      <c r="N126">
        <v>79831.73</v>
      </c>
    </row>
    <row r="127" spans="1:14">
      <c r="A127" t="s">
        <v>53</v>
      </c>
      <c r="B127" s="14">
        <v>45689</v>
      </c>
      <c r="C127" t="s">
        <v>24</v>
      </c>
      <c r="D127" t="s">
        <v>18</v>
      </c>
      <c r="E127">
        <v>44747</v>
      </c>
      <c r="F127">
        <v>11076</v>
      </c>
      <c r="G127">
        <v>0.17599999999999999</v>
      </c>
      <c r="H127">
        <v>27</v>
      </c>
      <c r="I127">
        <v>98.3</v>
      </c>
      <c r="J127">
        <v>0.54</v>
      </c>
      <c r="K127">
        <v>0</v>
      </c>
      <c r="L127">
        <v>4.4000000000000004</v>
      </c>
      <c r="M127">
        <v>842439.67</v>
      </c>
      <c r="N127">
        <v>169983.63</v>
      </c>
    </row>
    <row r="128" spans="1:14">
      <c r="A128" t="s">
        <v>53</v>
      </c>
      <c r="B128" s="14">
        <v>45717</v>
      </c>
      <c r="C128" t="s">
        <v>24</v>
      </c>
      <c r="D128" t="s">
        <v>18</v>
      </c>
      <c r="E128">
        <v>56517.9</v>
      </c>
      <c r="F128">
        <v>9574</v>
      </c>
      <c r="G128">
        <v>0.20399999999999999</v>
      </c>
      <c r="H128">
        <v>20</v>
      </c>
      <c r="I128">
        <v>88.2</v>
      </c>
      <c r="J128">
        <v>5.37</v>
      </c>
      <c r="K128">
        <v>1</v>
      </c>
      <c r="L128">
        <v>4.9000000000000004</v>
      </c>
      <c r="M128">
        <v>842157.92</v>
      </c>
      <c r="N128">
        <v>107348.22</v>
      </c>
    </row>
    <row r="129" spans="1:14">
      <c r="A129" t="s">
        <v>53</v>
      </c>
      <c r="B129" s="14">
        <v>45748</v>
      </c>
      <c r="C129" t="s">
        <v>24</v>
      </c>
      <c r="D129" t="s">
        <v>18</v>
      </c>
      <c r="E129">
        <v>37828.5</v>
      </c>
      <c r="F129">
        <v>8221</v>
      </c>
      <c r="G129">
        <v>9.6000000000000002E-2</v>
      </c>
      <c r="H129">
        <v>19</v>
      </c>
      <c r="I129">
        <v>81.5</v>
      </c>
      <c r="J129">
        <v>3.19</v>
      </c>
      <c r="K129">
        <v>0</v>
      </c>
      <c r="L129">
        <v>4.8</v>
      </c>
      <c r="M129">
        <v>697155.3</v>
      </c>
      <c r="N129">
        <v>136408.54</v>
      </c>
    </row>
    <row r="130" spans="1:14">
      <c r="A130" t="s">
        <v>54</v>
      </c>
      <c r="B130" s="14">
        <v>45658</v>
      </c>
      <c r="C130" t="s">
        <v>15</v>
      </c>
      <c r="D130" t="s">
        <v>18</v>
      </c>
      <c r="E130">
        <v>66250.53</v>
      </c>
      <c r="F130">
        <v>10618</v>
      </c>
      <c r="G130">
        <v>0.14199999999999999</v>
      </c>
      <c r="H130">
        <v>27</v>
      </c>
      <c r="I130">
        <v>88.3</v>
      </c>
      <c r="J130">
        <v>1.1000000000000001</v>
      </c>
      <c r="K130">
        <v>1</v>
      </c>
      <c r="L130">
        <v>4.4000000000000004</v>
      </c>
      <c r="M130">
        <v>849018.3</v>
      </c>
      <c r="N130">
        <v>149035.13</v>
      </c>
    </row>
    <row r="131" spans="1:14">
      <c r="A131" t="s">
        <v>54</v>
      </c>
      <c r="B131" s="14">
        <v>45689</v>
      </c>
      <c r="C131" t="s">
        <v>15</v>
      </c>
      <c r="D131" t="s">
        <v>18</v>
      </c>
      <c r="E131">
        <v>68410.929999999993</v>
      </c>
      <c r="F131">
        <v>10596</v>
      </c>
      <c r="G131">
        <v>0.20699999999999999</v>
      </c>
      <c r="H131">
        <v>25</v>
      </c>
      <c r="I131">
        <v>81.2</v>
      </c>
      <c r="J131">
        <v>0.21</v>
      </c>
      <c r="K131">
        <v>0</v>
      </c>
      <c r="L131">
        <v>4</v>
      </c>
      <c r="M131">
        <v>801830.35</v>
      </c>
      <c r="N131">
        <v>114875.32</v>
      </c>
    </row>
    <row r="132" spans="1:14">
      <c r="A132" t="s">
        <v>54</v>
      </c>
      <c r="B132" s="14">
        <v>45717</v>
      </c>
      <c r="C132" t="s">
        <v>15</v>
      </c>
      <c r="D132" t="s">
        <v>18</v>
      </c>
      <c r="E132">
        <v>50735.63</v>
      </c>
      <c r="F132">
        <v>9619</v>
      </c>
      <c r="G132">
        <v>0.14399999999999999</v>
      </c>
      <c r="H132">
        <v>19</v>
      </c>
      <c r="I132">
        <v>93.8</v>
      </c>
      <c r="J132">
        <v>5.12</v>
      </c>
      <c r="K132">
        <v>1</v>
      </c>
      <c r="L132">
        <v>4.5</v>
      </c>
      <c r="M132">
        <v>725235.28</v>
      </c>
      <c r="N132">
        <v>121632.24</v>
      </c>
    </row>
    <row r="133" spans="1:14">
      <c r="A133" t="s">
        <v>54</v>
      </c>
      <c r="B133" s="14">
        <v>45748</v>
      </c>
      <c r="C133" t="s">
        <v>15</v>
      </c>
      <c r="D133" t="s">
        <v>18</v>
      </c>
      <c r="E133">
        <v>66455.8</v>
      </c>
      <c r="F133">
        <v>10836</v>
      </c>
      <c r="G133">
        <v>8.8999999999999996E-2</v>
      </c>
      <c r="H133">
        <v>25</v>
      </c>
      <c r="I133">
        <v>85</v>
      </c>
      <c r="J133">
        <v>9.77</v>
      </c>
      <c r="K133">
        <v>0</v>
      </c>
      <c r="L133">
        <v>4.5</v>
      </c>
      <c r="M133">
        <v>811452.72</v>
      </c>
      <c r="N133">
        <v>131325.67000000001</v>
      </c>
    </row>
    <row r="134" spans="1:14">
      <c r="A134" t="s">
        <v>55</v>
      </c>
      <c r="B134" s="14">
        <v>45658</v>
      </c>
      <c r="C134" t="s">
        <v>20</v>
      </c>
      <c r="D134" t="s">
        <v>18</v>
      </c>
      <c r="E134">
        <v>70276.28</v>
      </c>
      <c r="F134">
        <v>3043</v>
      </c>
      <c r="G134">
        <v>7.9000000000000001E-2</v>
      </c>
      <c r="H134">
        <v>9</v>
      </c>
      <c r="I134">
        <v>87.9</v>
      </c>
      <c r="J134">
        <v>3.77</v>
      </c>
      <c r="K134">
        <v>0</v>
      </c>
      <c r="L134">
        <v>4.4000000000000004</v>
      </c>
      <c r="M134">
        <v>527300.13</v>
      </c>
      <c r="N134">
        <v>84197.87</v>
      </c>
    </row>
    <row r="135" spans="1:14">
      <c r="A135" t="s">
        <v>55</v>
      </c>
      <c r="B135" s="14">
        <v>45689</v>
      </c>
      <c r="C135" t="s">
        <v>20</v>
      </c>
      <c r="D135" t="s">
        <v>18</v>
      </c>
      <c r="E135">
        <v>22071.64</v>
      </c>
      <c r="F135">
        <v>1814</v>
      </c>
      <c r="G135">
        <v>0.19600000000000001</v>
      </c>
      <c r="H135">
        <v>8</v>
      </c>
      <c r="I135">
        <v>81.099999999999994</v>
      </c>
      <c r="J135">
        <v>0.78</v>
      </c>
      <c r="K135">
        <v>0</v>
      </c>
      <c r="L135">
        <v>3.92</v>
      </c>
      <c r="M135">
        <v>400831.65</v>
      </c>
      <c r="N135">
        <v>70979.31</v>
      </c>
    </row>
    <row r="136" spans="1:14">
      <c r="A136" t="s">
        <v>55</v>
      </c>
      <c r="B136" s="14">
        <v>45717</v>
      </c>
      <c r="C136" t="s">
        <v>20</v>
      </c>
      <c r="D136" t="s">
        <v>18</v>
      </c>
      <c r="E136">
        <v>52285.45</v>
      </c>
      <c r="F136">
        <v>3618</v>
      </c>
      <c r="G136">
        <v>8.5999999999999993E-2</v>
      </c>
      <c r="H136">
        <v>11</v>
      </c>
      <c r="I136">
        <v>95.6</v>
      </c>
      <c r="J136">
        <v>5.17</v>
      </c>
      <c r="K136">
        <v>1</v>
      </c>
      <c r="L136">
        <v>4.4000000000000004</v>
      </c>
      <c r="M136">
        <v>593247.25</v>
      </c>
      <c r="N136">
        <v>81240.289999999994</v>
      </c>
    </row>
    <row r="137" spans="1:14">
      <c r="A137" t="s">
        <v>55</v>
      </c>
      <c r="B137" s="14">
        <v>45748</v>
      </c>
      <c r="C137" t="s">
        <v>20</v>
      </c>
      <c r="D137" t="s">
        <v>18</v>
      </c>
      <c r="E137">
        <v>70366.759999999995</v>
      </c>
      <c r="F137">
        <v>1963</v>
      </c>
      <c r="G137">
        <v>0.182</v>
      </c>
      <c r="H137">
        <v>8</v>
      </c>
      <c r="I137">
        <v>89.8</v>
      </c>
      <c r="J137">
        <v>3.2</v>
      </c>
      <c r="K137">
        <v>0</v>
      </c>
      <c r="L137">
        <v>4.5999999999999996</v>
      </c>
      <c r="M137">
        <v>529075.94999999995</v>
      </c>
      <c r="N137">
        <v>95978.83</v>
      </c>
    </row>
    <row r="138" spans="1:14">
      <c r="A138" t="s">
        <v>56</v>
      </c>
      <c r="B138" s="14">
        <v>45658</v>
      </c>
      <c r="C138" t="s">
        <v>24</v>
      </c>
      <c r="D138" t="s">
        <v>16</v>
      </c>
      <c r="E138">
        <v>71320.66</v>
      </c>
      <c r="F138">
        <v>7888</v>
      </c>
      <c r="G138">
        <v>4.8000000000000001E-2</v>
      </c>
      <c r="H138">
        <v>20</v>
      </c>
      <c r="I138">
        <v>78.099999999999994</v>
      </c>
      <c r="J138">
        <v>3.4</v>
      </c>
      <c r="K138">
        <v>0</v>
      </c>
      <c r="L138">
        <v>3.92</v>
      </c>
      <c r="M138">
        <v>633638.03</v>
      </c>
      <c r="N138">
        <v>99402.01</v>
      </c>
    </row>
    <row r="139" spans="1:14">
      <c r="A139" t="s">
        <v>56</v>
      </c>
      <c r="B139" s="14">
        <v>45689</v>
      </c>
      <c r="C139" t="s">
        <v>24</v>
      </c>
      <c r="D139" t="s">
        <v>16</v>
      </c>
      <c r="E139">
        <v>75109.67</v>
      </c>
      <c r="F139">
        <v>6244</v>
      </c>
      <c r="G139">
        <v>7.9000000000000001E-2</v>
      </c>
      <c r="H139">
        <v>15</v>
      </c>
      <c r="I139">
        <v>96.3</v>
      </c>
      <c r="J139">
        <v>7.38</v>
      </c>
      <c r="K139">
        <v>0</v>
      </c>
      <c r="L139">
        <v>3.7</v>
      </c>
      <c r="M139">
        <v>743348.84</v>
      </c>
      <c r="N139">
        <v>104186.09</v>
      </c>
    </row>
    <row r="140" spans="1:14">
      <c r="A140" t="s">
        <v>56</v>
      </c>
      <c r="B140" s="14">
        <v>45717</v>
      </c>
      <c r="C140" t="s">
        <v>24</v>
      </c>
      <c r="D140" t="s">
        <v>16</v>
      </c>
      <c r="E140">
        <v>69779</v>
      </c>
      <c r="F140">
        <v>6544</v>
      </c>
      <c r="G140">
        <v>0.152</v>
      </c>
      <c r="H140">
        <v>18</v>
      </c>
      <c r="I140">
        <v>90.2</v>
      </c>
      <c r="J140">
        <v>0.85</v>
      </c>
      <c r="K140">
        <v>1</v>
      </c>
      <c r="L140">
        <v>3.3</v>
      </c>
      <c r="M140">
        <v>758827.64</v>
      </c>
      <c r="N140">
        <v>161439.48000000001</v>
      </c>
    </row>
    <row r="141" spans="1:14">
      <c r="A141" t="s">
        <v>56</v>
      </c>
      <c r="B141" s="14">
        <v>45748</v>
      </c>
      <c r="C141" t="s">
        <v>24</v>
      </c>
      <c r="D141" t="s">
        <v>16</v>
      </c>
      <c r="E141">
        <v>44211.95</v>
      </c>
      <c r="F141">
        <v>5465</v>
      </c>
      <c r="G141">
        <v>0.187</v>
      </c>
      <c r="H141">
        <v>12</v>
      </c>
      <c r="I141">
        <v>90</v>
      </c>
      <c r="J141">
        <v>2.89</v>
      </c>
      <c r="K141">
        <v>0</v>
      </c>
      <c r="L141">
        <v>3.6</v>
      </c>
      <c r="M141">
        <v>646559.71</v>
      </c>
      <c r="N141">
        <v>97981.75</v>
      </c>
    </row>
    <row r="142" spans="1:14">
      <c r="A142" t="s">
        <v>57</v>
      </c>
      <c r="B142" s="14">
        <v>45658</v>
      </c>
      <c r="C142" t="s">
        <v>27</v>
      </c>
      <c r="D142" t="s">
        <v>18</v>
      </c>
      <c r="E142">
        <v>51430.31</v>
      </c>
      <c r="F142">
        <v>6427</v>
      </c>
      <c r="G142">
        <v>0.23400000000000001</v>
      </c>
      <c r="H142">
        <v>14</v>
      </c>
      <c r="I142">
        <v>88.8</v>
      </c>
      <c r="J142">
        <v>0.77</v>
      </c>
      <c r="K142">
        <v>0</v>
      </c>
      <c r="L142">
        <v>4.0999999999999996</v>
      </c>
      <c r="M142">
        <v>715890.53</v>
      </c>
      <c r="N142">
        <v>109032.15</v>
      </c>
    </row>
    <row r="143" spans="1:14">
      <c r="A143" t="s">
        <v>57</v>
      </c>
      <c r="B143" s="14">
        <v>45689</v>
      </c>
      <c r="C143" t="s">
        <v>27</v>
      </c>
      <c r="D143" t="s">
        <v>18</v>
      </c>
      <c r="E143">
        <v>45706.49</v>
      </c>
      <c r="F143">
        <v>6704</v>
      </c>
      <c r="G143">
        <v>3.7999999999999999E-2</v>
      </c>
      <c r="H143">
        <v>15</v>
      </c>
      <c r="I143">
        <v>94.2</v>
      </c>
      <c r="J143">
        <v>2.92</v>
      </c>
      <c r="K143">
        <v>0</v>
      </c>
      <c r="L143">
        <v>4.2</v>
      </c>
      <c r="M143">
        <v>715097.57</v>
      </c>
      <c r="N143">
        <v>151875.85999999999</v>
      </c>
    </row>
    <row r="144" spans="1:14">
      <c r="A144" t="s">
        <v>57</v>
      </c>
      <c r="B144" s="14">
        <v>45717</v>
      </c>
      <c r="C144" t="s">
        <v>27</v>
      </c>
      <c r="D144" t="s">
        <v>18</v>
      </c>
      <c r="E144">
        <v>44034.6</v>
      </c>
      <c r="F144">
        <v>5645</v>
      </c>
      <c r="G144">
        <v>6.9000000000000006E-2</v>
      </c>
      <c r="H144">
        <v>18</v>
      </c>
      <c r="I144">
        <v>88.5</v>
      </c>
      <c r="J144">
        <v>3.07</v>
      </c>
      <c r="K144">
        <v>0</v>
      </c>
      <c r="L144">
        <v>3.8</v>
      </c>
      <c r="M144">
        <v>682639.28</v>
      </c>
      <c r="N144">
        <v>77557.53</v>
      </c>
    </row>
    <row r="145" spans="1:14">
      <c r="A145" t="s">
        <v>57</v>
      </c>
      <c r="B145" s="14">
        <v>45748</v>
      </c>
      <c r="C145" t="s">
        <v>27</v>
      </c>
      <c r="D145" t="s">
        <v>18</v>
      </c>
      <c r="E145">
        <v>50198.12</v>
      </c>
      <c r="F145">
        <v>6089</v>
      </c>
      <c r="G145">
        <v>0.182</v>
      </c>
      <c r="H145">
        <v>19</v>
      </c>
      <c r="I145">
        <v>94</v>
      </c>
      <c r="J145">
        <v>9.6999999999999993</v>
      </c>
      <c r="K145">
        <v>0</v>
      </c>
      <c r="L145">
        <v>3.9</v>
      </c>
      <c r="M145">
        <v>695098.51</v>
      </c>
      <c r="N145">
        <v>108192.75</v>
      </c>
    </row>
    <row r="146" spans="1:14">
      <c r="A146" t="s">
        <v>58</v>
      </c>
      <c r="B146" s="14">
        <v>45658</v>
      </c>
      <c r="C146" t="s">
        <v>20</v>
      </c>
      <c r="D146" t="s">
        <v>16</v>
      </c>
      <c r="E146">
        <v>70488.2</v>
      </c>
      <c r="F146">
        <v>4312</v>
      </c>
      <c r="G146">
        <v>0.16900000000000001</v>
      </c>
      <c r="H146">
        <v>12</v>
      </c>
      <c r="I146">
        <v>90.2</v>
      </c>
      <c r="J146">
        <v>3.71</v>
      </c>
      <c r="K146">
        <v>0</v>
      </c>
      <c r="L146">
        <v>3.2</v>
      </c>
      <c r="M146">
        <v>577732.56999999995</v>
      </c>
      <c r="N146">
        <v>93804.27</v>
      </c>
    </row>
    <row r="147" spans="1:14">
      <c r="A147" t="s">
        <v>58</v>
      </c>
      <c r="B147" s="14">
        <v>45689</v>
      </c>
      <c r="C147" t="s">
        <v>20</v>
      </c>
      <c r="D147" t="s">
        <v>16</v>
      </c>
      <c r="E147">
        <v>50909.27</v>
      </c>
      <c r="F147">
        <v>3152</v>
      </c>
      <c r="G147">
        <v>0.06</v>
      </c>
      <c r="H147">
        <v>13</v>
      </c>
      <c r="I147">
        <v>93.7</v>
      </c>
      <c r="J147">
        <v>10.79</v>
      </c>
      <c r="K147">
        <v>0</v>
      </c>
      <c r="L147">
        <v>3.5</v>
      </c>
      <c r="M147">
        <v>537058.32999999996</v>
      </c>
      <c r="N147">
        <v>93555.71</v>
      </c>
    </row>
    <row r="148" spans="1:14">
      <c r="A148" t="s">
        <v>58</v>
      </c>
      <c r="B148" s="14">
        <v>45717</v>
      </c>
      <c r="C148" t="s">
        <v>20</v>
      </c>
      <c r="D148" t="s">
        <v>16</v>
      </c>
      <c r="E148">
        <v>53351.7</v>
      </c>
      <c r="F148">
        <v>4259</v>
      </c>
      <c r="G148">
        <v>0.156</v>
      </c>
      <c r="H148">
        <v>15</v>
      </c>
      <c r="I148">
        <v>93.7</v>
      </c>
      <c r="J148">
        <v>6.03</v>
      </c>
      <c r="K148">
        <v>0</v>
      </c>
      <c r="L148">
        <v>3.4</v>
      </c>
      <c r="M148">
        <v>601568.87</v>
      </c>
      <c r="N148">
        <v>91634.82</v>
      </c>
    </row>
    <row r="149" spans="1:14">
      <c r="A149" t="s">
        <v>58</v>
      </c>
      <c r="B149" s="14">
        <v>45748</v>
      </c>
      <c r="C149" t="s">
        <v>20</v>
      </c>
      <c r="D149" t="s">
        <v>16</v>
      </c>
      <c r="E149">
        <v>60322.400000000001</v>
      </c>
      <c r="F149">
        <v>3350</v>
      </c>
      <c r="G149">
        <v>0.108</v>
      </c>
      <c r="H149">
        <v>12</v>
      </c>
      <c r="I149">
        <v>89.4</v>
      </c>
      <c r="J149">
        <v>4.92</v>
      </c>
      <c r="K149">
        <v>0</v>
      </c>
      <c r="L149">
        <v>3.4</v>
      </c>
      <c r="M149">
        <v>570964.84</v>
      </c>
      <c r="N149">
        <v>81331.070000000007</v>
      </c>
    </row>
    <row r="150" spans="1:14">
      <c r="A150" t="s">
        <v>59</v>
      </c>
      <c r="B150" s="14">
        <v>45658</v>
      </c>
      <c r="C150" t="s">
        <v>24</v>
      </c>
      <c r="D150" t="s">
        <v>28</v>
      </c>
      <c r="E150">
        <v>51575.68</v>
      </c>
      <c r="F150">
        <v>5329</v>
      </c>
      <c r="G150">
        <v>4.7E-2</v>
      </c>
      <c r="H150">
        <v>17</v>
      </c>
      <c r="I150">
        <v>88.1</v>
      </c>
      <c r="J150">
        <v>19.78</v>
      </c>
      <c r="K150">
        <v>0</v>
      </c>
      <c r="L150">
        <v>3.8</v>
      </c>
      <c r="M150">
        <v>614024.91</v>
      </c>
      <c r="N150">
        <v>84828.93</v>
      </c>
    </row>
    <row r="151" spans="1:14">
      <c r="A151" t="s">
        <v>59</v>
      </c>
      <c r="B151" s="14">
        <v>45689</v>
      </c>
      <c r="C151" t="s">
        <v>24</v>
      </c>
      <c r="D151" t="s">
        <v>28</v>
      </c>
      <c r="E151">
        <v>43319.94</v>
      </c>
      <c r="F151">
        <v>6551</v>
      </c>
      <c r="G151">
        <v>4.3999999999999997E-2</v>
      </c>
      <c r="H151">
        <v>13</v>
      </c>
      <c r="I151">
        <v>99</v>
      </c>
      <c r="J151">
        <v>5.45</v>
      </c>
      <c r="K151">
        <v>0</v>
      </c>
      <c r="L151">
        <v>4.0999999999999996</v>
      </c>
      <c r="M151">
        <v>712868.35</v>
      </c>
      <c r="N151">
        <v>133650.51</v>
      </c>
    </row>
    <row r="152" spans="1:14">
      <c r="A152" t="s">
        <v>59</v>
      </c>
      <c r="B152" s="14">
        <v>45717</v>
      </c>
      <c r="C152" t="s">
        <v>24</v>
      </c>
      <c r="D152" t="s">
        <v>28</v>
      </c>
      <c r="E152">
        <v>47093.55</v>
      </c>
      <c r="F152">
        <v>5550</v>
      </c>
      <c r="G152">
        <v>0.1</v>
      </c>
      <c r="H152">
        <v>12</v>
      </c>
      <c r="I152">
        <v>95</v>
      </c>
      <c r="J152">
        <v>2.33</v>
      </c>
      <c r="K152">
        <v>1</v>
      </c>
      <c r="L152">
        <v>3.7</v>
      </c>
      <c r="M152">
        <v>696744.15</v>
      </c>
      <c r="N152">
        <v>152230.09</v>
      </c>
    </row>
    <row r="153" spans="1:14">
      <c r="A153" t="s">
        <v>59</v>
      </c>
      <c r="B153" s="14">
        <v>45748</v>
      </c>
      <c r="C153" t="s">
        <v>24</v>
      </c>
      <c r="D153" t="s">
        <v>28</v>
      </c>
      <c r="E153">
        <v>71855.09</v>
      </c>
      <c r="F153">
        <v>5911</v>
      </c>
      <c r="G153">
        <v>0.19700000000000001</v>
      </c>
      <c r="H153">
        <v>15</v>
      </c>
      <c r="I153">
        <v>94.3</v>
      </c>
      <c r="J153">
        <v>3.55</v>
      </c>
      <c r="K153">
        <v>0</v>
      </c>
      <c r="L153">
        <v>4.0999999999999996</v>
      </c>
      <c r="M153">
        <v>725847.99</v>
      </c>
      <c r="N153">
        <v>122698.73</v>
      </c>
    </row>
    <row r="154" spans="1:14">
      <c r="A154" t="s">
        <v>60</v>
      </c>
      <c r="B154" s="14">
        <v>45658</v>
      </c>
      <c r="C154" t="s">
        <v>15</v>
      </c>
      <c r="D154" t="s">
        <v>18</v>
      </c>
      <c r="E154">
        <v>75645.23</v>
      </c>
      <c r="F154">
        <v>9674</v>
      </c>
      <c r="G154">
        <v>0.23400000000000001</v>
      </c>
      <c r="H154">
        <v>21</v>
      </c>
      <c r="I154">
        <v>87.4</v>
      </c>
      <c r="J154">
        <v>0.2</v>
      </c>
      <c r="K154">
        <v>0</v>
      </c>
      <c r="L154">
        <v>4.5</v>
      </c>
      <c r="M154">
        <v>785028.25</v>
      </c>
      <c r="N154">
        <v>110726.44</v>
      </c>
    </row>
    <row r="155" spans="1:14">
      <c r="A155" t="s">
        <v>60</v>
      </c>
      <c r="B155" s="14">
        <v>45689</v>
      </c>
      <c r="C155" t="s">
        <v>15</v>
      </c>
      <c r="D155" t="s">
        <v>18</v>
      </c>
      <c r="E155">
        <v>64374.75</v>
      </c>
      <c r="F155">
        <v>6740</v>
      </c>
      <c r="G155">
        <v>0.16900000000000001</v>
      </c>
      <c r="H155">
        <v>18</v>
      </c>
      <c r="I155">
        <v>87</v>
      </c>
      <c r="J155">
        <v>2.09</v>
      </c>
      <c r="K155">
        <v>0</v>
      </c>
      <c r="L155">
        <v>4.2</v>
      </c>
      <c r="M155">
        <v>698492.67</v>
      </c>
      <c r="N155">
        <v>117319.32</v>
      </c>
    </row>
    <row r="156" spans="1:14">
      <c r="A156" t="s">
        <v>60</v>
      </c>
      <c r="B156" s="14">
        <v>45717</v>
      </c>
      <c r="C156" t="s">
        <v>15</v>
      </c>
      <c r="D156" t="s">
        <v>18</v>
      </c>
      <c r="E156">
        <v>61433.84</v>
      </c>
      <c r="F156">
        <v>7745</v>
      </c>
      <c r="G156">
        <v>0.18</v>
      </c>
      <c r="H156">
        <v>16</v>
      </c>
      <c r="I156">
        <v>90.5</v>
      </c>
      <c r="J156">
        <v>2.2599999999999998</v>
      </c>
      <c r="K156">
        <v>0</v>
      </c>
      <c r="L156">
        <v>4.2</v>
      </c>
      <c r="M156">
        <v>685830.24</v>
      </c>
      <c r="N156">
        <v>128736.18</v>
      </c>
    </row>
    <row r="157" spans="1:14">
      <c r="A157" t="s">
        <v>60</v>
      </c>
      <c r="B157" s="14">
        <v>45748</v>
      </c>
      <c r="C157" t="s">
        <v>15</v>
      </c>
      <c r="D157" t="s">
        <v>18</v>
      </c>
      <c r="E157">
        <v>42698.14</v>
      </c>
      <c r="F157">
        <v>7693</v>
      </c>
      <c r="G157">
        <v>0.187</v>
      </c>
      <c r="H157">
        <v>19</v>
      </c>
      <c r="I157">
        <v>90.1</v>
      </c>
      <c r="J157">
        <v>0.44</v>
      </c>
      <c r="K157">
        <v>0</v>
      </c>
      <c r="L157">
        <v>4.4000000000000004</v>
      </c>
      <c r="M157">
        <v>702318.94</v>
      </c>
      <c r="N157">
        <v>112829.29</v>
      </c>
    </row>
    <row r="158" spans="1:14">
      <c r="A158" t="s">
        <v>61</v>
      </c>
      <c r="B158" s="14">
        <v>45658</v>
      </c>
      <c r="C158" t="s">
        <v>20</v>
      </c>
      <c r="D158" t="s">
        <v>28</v>
      </c>
      <c r="E158">
        <v>86883.31</v>
      </c>
      <c r="F158">
        <v>6424</v>
      </c>
      <c r="G158">
        <v>5.7000000000000002E-2</v>
      </c>
      <c r="H158">
        <v>19</v>
      </c>
      <c r="I158">
        <v>85.2</v>
      </c>
      <c r="J158">
        <v>3.08</v>
      </c>
      <c r="K158">
        <v>0</v>
      </c>
      <c r="L158">
        <v>3.9</v>
      </c>
      <c r="M158">
        <v>700078.32</v>
      </c>
      <c r="N158">
        <v>123707.58</v>
      </c>
    </row>
    <row r="159" spans="1:14">
      <c r="A159" t="s">
        <v>61</v>
      </c>
      <c r="B159" s="14">
        <v>45689</v>
      </c>
      <c r="C159" t="s">
        <v>20</v>
      </c>
      <c r="D159" t="s">
        <v>28</v>
      </c>
      <c r="E159">
        <v>41863.08</v>
      </c>
      <c r="F159">
        <v>5400</v>
      </c>
      <c r="G159">
        <v>0.114</v>
      </c>
      <c r="H159">
        <v>11</v>
      </c>
      <c r="I159">
        <v>91.6</v>
      </c>
      <c r="J159">
        <v>7.99</v>
      </c>
      <c r="K159">
        <v>0</v>
      </c>
      <c r="L159">
        <v>3</v>
      </c>
      <c r="M159">
        <v>602002.31999999995</v>
      </c>
      <c r="N159">
        <v>110453.28</v>
      </c>
    </row>
    <row r="160" spans="1:14">
      <c r="A160" t="s">
        <v>61</v>
      </c>
      <c r="B160" s="14">
        <v>45717</v>
      </c>
      <c r="C160" t="s">
        <v>20</v>
      </c>
      <c r="D160" t="s">
        <v>28</v>
      </c>
      <c r="E160">
        <v>56918.16</v>
      </c>
      <c r="F160">
        <v>7015</v>
      </c>
      <c r="G160">
        <v>0.158</v>
      </c>
      <c r="H160">
        <v>18</v>
      </c>
      <c r="I160">
        <v>74.2</v>
      </c>
      <c r="J160">
        <v>0.2</v>
      </c>
      <c r="K160">
        <v>0</v>
      </c>
      <c r="L160">
        <v>3.4</v>
      </c>
      <c r="M160">
        <v>724216.07</v>
      </c>
      <c r="N160">
        <v>100627.56</v>
      </c>
    </row>
    <row r="161" spans="1:14">
      <c r="A161" t="s">
        <v>61</v>
      </c>
      <c r="B161" s="14">
        <v>45748</v>
      </c>
      <c r="C161" t="s">
        <v>20</v>
      </c>
      <c r="D161" t="s">
        <v>28</v>
      </c>
      <c r="E161">
        <v>23254.57</v>
      </c>
      <c r="F161">
        <v>3847</v>
      </c>
      <c r="G161">
        <v>0.159</v>
      </c>
      <c r="H161">
        <v>12</v>
      </c>
      <c r="I161">
        <v>93</v>
      </c>
      <c r="J161">
        <v>5.46</v>
      </c>
      <c r="K161">
        <v>0</v>
      </c>
      <c r="L161">
        <v>3.3</v>
      </c>
      <c r="M161">
        <v>620973.03</v>
      </c>
      <c r="N161">
        <v>72303.850000000006</v>
      </c>
    </row>
    <row r="162" spans="1:14">
      <c r="A162" t="s">
        <v>62</v>
      </c>
      <c r="B162" s="14">
        <v>45658</v>
      </c>
      <c r="C162" t="s">
        <v>24</v>
      </c>
      <c r="D162" t="s">
        <v>18</v>
      </c>
      <c r="E162">
        <v>41443.410000000003</v>
      </c>
      <c r="F162">
        <v>7455</v>
      </c>
      <c r="G162">
        <v>0.17499999999999999</v>
      </c>
      <c r="H162">
        <v>16</v>
      </c>
      <c r="I162">
        <v>90.1</v>
      </c>
      <c r="J162">
        <v>4.05</v>
      </c>
      <c r="K162">
        <v>0</v>
      </c>
      <c r="L162">
        <v>4</v>
      </c>
      <c r="M162">
        <v>650480.06000000006</v>
      </c>
      <c r="N162">
        <v>109012.07</v>
      </c>
    </row>
    <row r="163" spans="1:14">
      <c r="A163" t="s">
        <v>62</v>
      </c>
      <c r="B163" s="14">
        <v>45689</v>
      </c>
      <c r="C163" t="s">
        <v>24</v>
      </c>
      <c r="D163" t="s">
        <v>18</v>
      </c>
      <c r="E163">
        <v>48438.85</v>
      </c>
      <c r="F163">
        <v>6992</v>
      </c>
      <c r="G163">
        <v>3.4000000000000002E-2</v>
      </c>
      <c r="H163">
        <v>20</v>
      </c>
      <c r="I163">
        <v>91</v>
      </c>
      <c r="J163">
        <v>4.3600000000000003</v>
      </c>
      <c r="K163">
        <v>0</v>
      </c>
      <c r="L163">
        <v>4.2</v>
      </c>
      <c r="M163">
        <v>778298.88</v>
      </c>
      <c r="N163">
        <v>130076.72</v>
      </c>
    </row>
    <row r="164" spans="1:14">
      <c r="A164" t="s">
        <v>62</v>
      </c>
      <c r="B164" s="14">
        <v>45717</v>
      </c>
      <c r="C164" t="s">
        <v>24</v>
      </c>
      <c r="D164" t="s">
        <v>18</v>
      </c>
      <c r="E164">
        <v>57143.3</v>
      </c>
      <c r="F164">
        <v>8038</v>
      </c>
      <c r="G164">
        <v>0.193</v>
      </c>
      <c r="H164">
        <v>17</v>
      </c>
      <c r="I164">
        <v>72.599999999999994</v>
      </c>
      <c r="J164">
        <v>3.3650000000000002</v>
      </c>
      <c r="K164">
        <v>0</v>
      </c>
      <c r="L164">
        <v>4.2</v>
      </c>
      <c r="M164">
        <v>677096.71</v>
      </c>
      <c r="N164">
        <v>97174.11</v>
      </c>
    </row>
    <row r="165" spans="1:14">
      <c r="A165" t="s">
        <v>62</v>
      </c>
      <c r="B165" s="14">
        <v>45748</v>
      </c>
      <c r="C165" t="s">
        <v>24</v>
      </c>
      <c r="D165" t="s">
        <v>18</v>
      </c>
      <c r="E165">
        <v>66870.62</v>
      </c>
      <c r="F165">
        <v>6055</v>
      </c>
      <c r="G165">
        <v>7.4999999999999997E-2</v>
      </c>
      <c r="H165">
        <v>19</v>
      </c>
      <c r="I165">
        <v>93.8</v>
      </c>
      <c r="J165">
        <v>0.54</v>
      </c>
      <c r="K165">
        <v>0</v>
      </c>
      <c r="L165">
        <v>4.3</v>
      </c>
      <c r="M165">
        <v>692008.64</v>
      </c>
      <c r="N165">
        <v>116337.87</v>
      </c>
    </row>
    <row r="166" spans="1:14">
      <c r="A166" t="s">
        <v>63</v>
      </c>
      <c r="B166" s="14">
        <v>45658</v>
      </c>
      <c r="C166" t="s">
        <v>20</v>
      </c>
      <c r="D166" t="s">
        <v>28</v>
      </c>
      <c r="E166">
        <v>72150.53</v>
      </c>
      <c r="F166">
        <v>9323</v>
      </c>
      <c r="G166">
        <v>0.157</v>
      </c>
      <c r="H166">
        <v>22</v>
      </c>
      <c r="I166">
        <v>82.9</v>
      </c>
      <c r="J166">
        <v>11.37</v>
      </c>
      <c r="K166">
        <v>1</v>
      </c>
      <c r="L166">
        <v>4.3</v>
      </c>
      <c r="M166">
        <v>825797.91</v>
      </c>
      <c r="N166">
        <v>130945.24</v>
      </c>
    </row>
    <row r="167" spans="1:14">
      <c r="A167" t="s">
        <v>63</v>
      </c>
      <c r="B167" s="14">
        <v>45689</v>
      </c>
      <c r="C167" t="s">
        <v>20</v>
      </c>
      <c r="D167" t="s">
        <v>28</v>
      </c>
      <c r="E167">
        <v>35303.300000000003</v>
      </c>
      <c r="F167">
        <v>8789</v>
      </c>
      <c r="G167">
        <v>0.123</v>
      </c>
      <c r="H167">
        <v>22</v>
      </c>
      <c r="I167">
        <v>86.1</v>
      </c>
      <c r="J167">
        <v>9.43</v>
      </c>
      <c r="K167">
        <v>0</v>
      </c>
      <c r="L167">
        <v>4.2</v>
      </c>
      <c r="M167">
        <v>706285.52</v>
      </c>
      <c r="N167">
        <v>138014.72</v>
      </c>
    </row>
    <row r="168" spans="1:14">
      <c r="A168" t="s">
        <v>63</v>
      </c>
      <c r="B168" s="14">
        <v>45717</v>
      </c>
      <c r="C168" t="s">
        <v>20</v>
      </c>
      <c r="D168" t="s">
        <v>28</v>
      </c>
      <c r="E168">
        <v>30301.86</v>
      </c>
      <c r="F168">
        <v>6939</v>
      </c>
      <c r="G168">
        <v>0.09</v>
      </c>
      <c r="H168">
        <v>16</v>
      </c>
      <c r="I168">
        <v>90.3</v>
      </c>
      <c r="J168">
        <v>3.49</v>
      </c>
      <c r="K168">
        <v>0</v>
      </c>
      <c r="L168">
        <v>4</v>
      </c>
      <c r="M168">
        <v>665534.69999999995</v>
      </c>
      <c r="N168">
        <v>113167.73</v>
      </c>
    </row>
    <row r="169" spans="1:14">
      <c r="A169" t="s">
        <v>63</v>
      </c>
      <c r="B169" s="14">
        <v>45748</v>
      </c>
      <c r="C169" t="s">
        <v>20</v>
      </c>
      <c r="D169" t="s">
        <v>28</v>
      </c>
      <c r="E169">
        <v>78432.14</v>
      </c>
      <c r="F169">
        <v>9440</v>
      </c>
      <c r="G169">
        <v>0.126</v>
      </c>
      <c r="H169">
        <v>23</v>
      </c>
      <c r="I169">
        <v>89.2</v>
      </c>
      <c r="J169">
        <v>7.86</v>
      </c>
      <c r="K169">
        <v>0</v>
      </c>
      <c r="L169">
        <v>4.0999999999999996</v>
      </c>
      <c r="M169">
        <v>820729.29</v>
      </c>
      <c r="N169">
        <v>159325.47</v>
      </c>
    </row>
    <row r="170" spans="1:14">
      <c r="A170" t="s">
        <v>64</v>
      </c>
      <c r="B170" s="14">
        <v>45658</v>
      </c>
      <c r="C170" t="s">
        <v>15</v>
      </c>
      <c r="D170" t="s">
        <v>16</v>
      </c>
      <c r="E170">
        <v>62059.18</v>
      </c>
      <c r="F170">
        <v>9374</v>
      </c>
      <c r="G170">
        <v>0.13600000000000001</v>
      </c>
      <c r="H170">
        <v>25</v>
      </c>
      <c r="I170">
        <v>87.1</v>
      </c>
      <c r="J170">
        <v>12.55</v>
      </c>
      <c r="K170">
        <v>0</v>
      </c>
      <c r="L170">
        <v>4.9000000000000004</v>
      </c>
      <c r="M170">
        <v>739831.73</v>
      </c>
      <c r="N170">
        <v>119490.21</v>
      </c>
    </row>
    <row r="171" spans="1:14">
      <c r="A171" t="s">
        <v>64</v>
      </c>
      <c r="B171" s="14">
        <v>45689</v>
      </c>
      <c r="C171" t="s">
        <v>15</v>
      </c>
      <c r="D171" t="s">
        <v>16</v>
      </c>
      <c r="E171">
        <v>32834.480000000003</v>
      </c>
      <c r="F171">
        <v>7576</v>
      </c>
      <c r="G171">
        <v>9.9000000000000005E-2</v>
      </c>
      <c r="H171">
        <v>15</v>
      </c>
      <c r="I171">
        <v>84.1</v>
      </c>
      <c r="J171">
        <v>3.48</v>
      </c>
      <c r="K171">
        <v>0</v>
      </c>
      <c r="L171">
        <v>5</v>
      </c>
      <c r="M171">
        <v>593637.14</v>
      </c>
      <c r="N171">
        <v>106648.14</v>
      </c>
    </row>
    <row r="172" spans="1:14">
      <c r="A172" t="s">
        <v>64</v>
      </c>
      <c r="B172" s="14">
        <v>45717</v>
      </c>
      <c r="C172" t="s">
        <v>15</v>
      </c>
      <c r="D172" t="s">
        <v>16</v>
      </c>
      <c r="E172">
        <v>50825.08</v>
      </c>
      <c r="F172">
        <v>8949</v>
      </c>
      <c r="G172">
        <v>0.157</v>
      </c>
      <c r="H172">
        <v>21</v>
      </c>
      <c r="I172">
        <v>84.7</v>
      </c>
      <c r="J172">
        <v>7.73</v>
      </c>
      <c r="K172">
        <v>0</v>
      </c>
      <c r="L172">
        <v>4.9000000000000004</v>
      </c>
      <c r="M172">
        <v>769702.76</v>
      </c>
      <c r="N172">
        <v>158697</v>
      </c>
    </row>
    <row r="173" spans="1:14">
      <c r="A173" t="s">
        <v>64</v>
      </c>
      <c r="B173" s="14">
        <v>45748</v>
      </c>
      <c r="C173" t="s">
        <v>15</v>
      </c>
      <c r="D173" t="s">
        <v>16</v>
      </c>
      <c r="E173">
        <v>36606.51</v>
      </c>
      <c r="F173">
        <v>7671</v>
      </c>
      <c r="G173">
        <v>0.11799999999999999</v>
      </c>
      <c r="H173">
        <v>18</v>
      </c>
      <c r="I173">
        <v>89.8</v>
      </c>
      <c r="J173">
        <v>0.25</v>
      </c>
      <c r="K173">
        <v>0</v>
      </c>
      <c r="L173">
        <v>4.4000000000000004</v>
      </c>
      <c r="M173">
        <v>679731.57</v>
      </c>
      <c r="N173">
        <v>121546.42</v>
      </c>
    </row>
    <row r="174" spans="1:14">
      <c r="A174" t="s">
        <v>65</v>
      </c>
      <c r="B174" s="14">
        <v>45658</v>
      </c>
      <c r="C174" t="s">
        <v>15</v>
      </c>
      <c r="D174" t="s">
        <v>16</v>
      </c>
      <c r="E174">
        <v>65237.79</v>
      </c>
      <c r="F174">
        <v>8741</v>
      </c>
      <c r="G174">
        <v>0.157</v>
      </c>
      <c r="H174">
        <v>20</v>
      </c>
      <c r="I174">
        <v>94.4</v>
      </c>
      <c r="J174">
        <v>6.43</v>
      </c>
      <c r="K174">
        <v>0</v>
      </c>
      <c r="L174">
        <v>3.3</v>
      </c>
      <c r="M174">
        <v>780344.18</v>
      </c>
      <c r="N174">
        <v>118239.09</v>
      </c>
    </row>
    <row r="175" spans="1:14">
      <c r="A175" t="s">
        <v>65</v>
      </c>
      <c r="B175" s="14">
        <v>45689</v>
      </c>
      <c r="C175" t="s">
        <v>15</v>
      </c>
      <c r="D175" t="s">
        <v>16</v>
      </c>
      <c r="E175">
        <v>43645.98</v>
      </c>
      <c r="F175">
        <v>9480</v>
      </c>
      <c r="G175">
        <v>0.109</v>
      </c>
      <c r="H175">
        <v>22</v>
      </c>
      <c r="I175">
        <v>89</v>
      </c>
      <c r="J175">
        <v>2.11</v>
      </c>
      <c r="K175">
        <v>0</v>
      </c>
      <c r="L175">
        <v>3.1</v>
      </c>
      <c r="M175">
        <v>721364.11</v>
      </c>
      <c r="N175">
        <v>147272.81</v>
      </c>
    </row>
    <row r="176" spans="1:14">
      <c r="A176" t="s">
        <v>65</v>
      </c>
      <c r="B176" s="14">
        <v>45717</v>
      </c>
      <c r="C176" t="s">
        <v>15</v>
      </c>
      <c r="D176" t="s">
        <v>16</v>
      </c>
      <c r="E176">
        <v>68040.149999999994</v>
      </c>
      <c r="F176">
        <v>9826</v>
      </c>
      <c r="G176">
        <v>0.125</v>
      </c>
      <c r="H176">
        <v>20</v>
      </c>
      <c r="I176">
        <v>83.9</v>
      </c>
      <c r="J176">
        <v>9.1199999999999992</v>
      </c>
      <c r="K176">
        <v>0</v>
      </c>
      <c r="L176">
        <v>3.6</v>
      </c>
      <c r="M176">
        <v>758138.29</v>
      </c>
      <c r="N176">
        <v>132975.26</v>
      </c>
    </row>
    <row r="177" spans="1:14">
      <c r="A177" t="s">
        <v>65</v>
      </c>
      <c r="B177" s="14">
        <v>45748</v>
      </c>
      <c r="C177" t="s">
        <v>15</v>
      </c>
      <c r="D177" t="s">
        <v>16</v>
      </c>
      <c r="E177">
        <v>63043.94</v>
      </c>
      <c r="F177">
        <v>10402</v>
      </c>
      <c r="G177">
        <v>0.159</v>
      </c>
      <c r="H177">
        <v>23</v>
      </c>
      <c r="I177">
        <v>93.9</v>
      </c>
      <c r="J177">
        <v>2.71</v>
      </c>
      <c r="K177">
        <v>0</v>
      </c>
      <c r="L177">
        <v>3.1</v>
      </c>
      <c r="M177">
        <v>804264</v>
      </c>
      <c r="N177">
        <v>167117.91</v>
      </c>
    </row>
    <row r="178" spans="1:14">
      <c r="A178" t="s">
        <v>66</v>
      </c>
      <c r="B178" s="14">
        <v>45658</v>
      </c>
      <c r="C178" t="s">
        <v>27</v>
      </c>
      <c r="D178" t="s">
        <v>21</v>
      </c>
      <c r="E178">
        <v>67494.09</v>
      </c>
      <c r="F178">
        <v>12361</v>
      </c>
      <c r="G178">
        <v>4.5999999999999999E-2</v>
      </c>
      <c r="H178">
        <v>24</v>
      </c>
      <c r="I178">
        <v>76.599999999999994</v>
      </c>
      <c r="J178">
        <v>3.65</v>
      </c>
      <c r="K178">
        <v>1</v>
      </c>
      <c r="L178">
        <v>3.7</v>
      </c>
      <c r="M178">
        <v>887537.75</v>
      </c>
      <c r="N178">
        <v>160362.92000000001</v>
      </c>
    </row>
    <row r="179" spans="1:14">
      <c r="A179" t="s">
        <v>66</v>
      </c>
      <c r="B179" s="14">
        <v>45689</v>
      </c>
      <c r="C179" t="s">
        <v>27</v>
      </c>
      <c r="D179" t="s">
        <v>21</v>
      </c>
      <c r="E179">
        <v>29389.32</v>
      </c>
      <c r="F179">
        <v>7925</v>
      </c>
      <c r="G179">
        <v>0.17699999999999999</v>
      </c>
      <c r="H179">
        <v>21</v>
      </c>
      <c r="I179">
        <v>90.9</v>
      </c>
      <c r="J179">
        <v>7.86</v>
      </c>
      <c r="K179">
        <v>0</v>
      </c>
      <c r="L179">
        <v>4</v>
      </c>
      <c r="M179">
        <v>783582</v>
      </c>
      <c r="N179">
        <v>130670.93</v>
      </c>
    </row>
    <row r="180" spans="1:14">
      <c r="A180" t="s">
        <v>66</v>
      </c>
      <c r="B180" s="14">
        <v>45717</v>
      </c>
      <c r="C180" t="s">
        <v>27</v>
      </c>
      <c r="D180" t="s">
        <v>21</v>
      </c>
      <c r="E180">
        <v>40535.089999999997</v>
      </c>
      <c r="F180">
        <v>8870</v>
      </c>
      <c r="G180">
        <v>4.1000000000000002E-2</v>
      </c>
      <c r="H180">
        <v>21</v>
      </c>
      <c r="I180">
        <v>86.6</v>
      </c>
      <c r="J180">
        <v>0.3</v>
      </c>
      <c r="K180">
        <v>0</v>
      </c>
      <c r="L180">
        <v>4.0999999999999996</v>
      </c>
      <c r="M180">
        <v>781955.52</v>
      </c>
      <c r="N180">
        <v>152578.71</v>
      </c>
    </row>
    <row r="181" spans="1:14">
      <c r="A181" t="s">
        <v>66</v>
      </c>
      <c r="B181" s="14">
        <v>45748</v>
      </c>
      <c r="C181" t="s">
        <v>27</v>
      </c>
      <c r="D181" t="s">
        <v>21</v>
      </c>
      <c r="E181">
        <v>74881.56</v>
      </c>
      <c r="F181">
        <v>9999</v>
      </c>
      <c r="G181">
        <v>1.2999999999999999E-2</v>
      </c>
      <c r="H181">
        <v>20</v>
      </c>
      <c r="I181">
        <v>89.6</v>
      </c>
      <c r="J181">
        <v>8.44</v>
      </c>
      <c r="K181">
        <v>0</v>
      </c>
      <c r="L181">
        <v>4.0999999999999996</v>
      </c>
      <c r="M181">
        <v>898031.04</v>
      </c>
      <c r="N181">
        <v>138666.5</v>
      </c>
    </row>
    <row r="182" spans="1:14">
      <c r="A182" t="s">
        <v>67</v>
      </c>
      <c r="B182" s="14">
        <v>45658</v>
      </c>
      <c r="C182" t="s">
        <v>27</v>
      </c>
      <c r="D182" t="s">
        <v>16</v>
      </c>
      <c r="E182">
        <v>68491.11</v>
      </c>
      <c r="F182">
        <v>11154</v>
      </c>
      <c r="G182">
        <v>1E-3</v>
      </c>
      <c r="H182">
        <v>24</v>
      </c>
      <c r="I182">
        <v>89.4</v>
      </c>
      <c r="J182">
        <v>5.27</v>
      </c>
      <c r="K182">
        <v>1</v>
      </c>
      <c r="L182">
        <v>3.9</v>
      </c>
      <c r="M182">
        <v>855341.28</v>
      </c>
      <c r="N182">
        <v>175823.8</v>
      </c>
    </row>
    <row r="183" spans="1:14">
      <c r="A183" t="s">
        <v>67</v>
      </c>
      <c r="B183" s="14">
        <v>45689</v>
      </c>
      <c r="C183" t="s">
        <v>27</v>
      </c>
      <c r="D183" t="s">
        <v>16</v>
      </c>
      <c r="E183">
        <v>45209.25</v>
      </c>
      <c r="F183">
        <v>9287</v>
      </c>
      <c r="G183">
        <v>0.14099999999999999</v>
      </c>
      <c r="H183">
        <v>22</v>
      </c>
      <c r="I183">
        <v>86.4</v>
      </c>
      <c r="J183">
        <v>13.22</v>
      </c>
      <c r="K183">
        <v>0</v>
      </c>
      <c r="L183">
        <v>3.6</v>
      </c>
      <c r="M183">
        <v>751393.88</v>
      </c>
      <c r="N183">
        <v>91480.320000000007</v>
      </c>
    </row>
    <row r="184" spans="1:14">
      <c r="A184" t="s">
        <v>67</v>
      </c>
      <c r="B184" s="14">
        <v>45717</v>
      </c>
      <c r="C184" t="s">
        <v>27</v>
      </c>
      <c r="D184" t="s">
        <v>16</v>
      </c>
      <c r="E184">
        <v>63010.23</v>
      </c>
      <c r="F184">
        <v>9812</v>
      </c>
      <c r="G184">
        <v>0.113</v>
      </c>
      <c r="H184">
        <v>24</v>
      </c>
      <c r="I184">
        <v>76.8</v>
      </c>
      <c r="J184">
        <v>1.02</v>
      </c>
      <c r="K184">
        <v>1</v>
      </c>
      <c r="L184">
        <v>3.8</v>
      </c>
      <c r="M184">
        <v>761077.08</v>
      </c>
      <c r="N184">
        <v>113605.93</v>
      </c>
    </row>
    <row r="185" spans="1:14">
      <c r="A185" t="s">
        <v>67</v>
      </c>
      <c r="B185" s="14">
        <v>45748</v>
      </c>
      <c r="C185" t="s">
        <v>27</v>
      </c>
      <c r="D185" t="s">
        <v>16</v>
      </c>
      <c r="E185">
        <v>57948.88</v>
      </c>
      <c r="F185">
        <v>10741</v>
      </c>
      <c r="G185">
        <v>7.0000000000000007E-2</v>
      </c>
      <c r="H185">
        <v>25</v>
      </c>
      <c r="I185">
        <v>90.1</v>
      </c>
      <c r="J185">
        <v>4.03</v>
      </c>
      <c r="K185">
        <v>0</v>
      </c>
      <c r="L185">
        <v>3.1</v>
      </c>
      <c r="M185">
        <v>819660.59</v>
      </c>
      <c r="N185">
        <v>172699.95</v>
      </c>
    </row>
    <row r="186" spans="1:14">
      <c r="A186" t="s">
        <v>68</v>
      </c>
      <c r="B186" s="14">
        <v>45658</v>
      </c>
      <c r="C186" t="s">
        <v>20</v>
      </c>
      <c r="D186" t="s">
        <v>18</v>
      </c>
      <c r="E186">
        <v>71941.62</v>
      </c>
      <c r="F186">
        <v>6084</v>
      </c>
      <c r="G186">
        <v>7.1999999999999995E-2</v>
      </c>
      <c r="H186">
        <v>13</v>
      </c>
      <c r="I186">
        <v>93.7</v>
      </c>
      <c r="J186">
        <v>2.34</v>
      </c>
      <c r="K186">
        <v>0</v>
      </c>
      <c r="L186">
        <v>4.4000000000000004</v>
      </c>
      <c r="M186">
        <v>681855.56</v>
      </c>
      <c r="N186">
        <v>117645.61</v>
      </c>
    </row>
    <row r="187" spans="1:14">
      <c r="A187" t="s">
        <v>68</v>
      </c>
      <c r="B187" s="14">
        <v>45689</v>
      </c>
      <c r="C187" t="s">
        <v>20</v>
      </c>
      <c r="D187" t="s">
        <v>18</v>
      </c>
      <c r="E187">
        <v>57147.88</v>
      </c>
      <c r="F187">
        <v>5252</v>
      </c>
      <c r="G187">
        <v>0.161</v>
      </c>
      <c r="H187">
        <v>15</v>
      </c>
      <c r="I187">
        <v>95.5</v>
      </c>
      <c r="J187">
        <v>8.51</v>
      </c>
      <c r="K187">
        <v>0</v>
      </c>
      <c r="L187">
        <v>4.4000000000000004</v>
      </c>
      <c r="M187">
        <v>678311.17</v>
      </c>
      <c r="N187">
        <v>132029.76000000001</v>
      </c>
    </row>
    <row r="188" spans="1:14">
      <c r="A188" t="s">
        <v>68</v>
      </c>
      <c r="B188" s="14">
        <v>45717</v>
      </c>
      <c r="C188" t="s">
        <v>20</v>
      </c>
      <c r="D188" t="s">
        <v>18</v>
      </c>
      <c r="E188">
        <v>48031.74</v>
      </c>
      <c r="F188">
        <v>6516</v>
      </c>
      <c r="G188">
        <v>6.7000000000000004E-2</v>
      </c>
      <c r="H188">
        <v>14</v>
      </c>
      <c r="I188">
        <v>99</v>
      </c>
      <c r="J188">
        <v>0.48</v>
      </c>
      <c r="K188">
        <v>1</v>
      </c>
      <c r="L188">
        <v>4.3</v>
      </c>
      <c r="M188">
        <v>765906.95</v>
      </c>
      <c r="N188">
        <v>114005.9</v>
      </c>
    </row>
    <row r="189" spans="1:14">
      <c r="A189" t="s">
        <v>68</v>
      </c>
      <c r="B189" s="14">
        <v>45748</v>
      </c>
      <c r="C189" t="s">
        <v>20</v>
      </c>
      <c r="D189" t="s">
        <v>18</v>
      </c>
      <c r="E189">
        <v>72784.800000000003</v>
      </c>
      <c r="F189">
        <v>7932</v>
      </c>
      <c r="G189">
        <v>9.4E-2</v>
      </c>
      <c r="H189">
        <v>20</v>
      </c>
      <c r="I189">
        <v>74.900000000000006</v>
      </c>
      <c r="J189">
        <v>13.62</v>
      </c>
      <c r="K189">
        <v>0</v>
      </c>
      <c r="L189">
        <v>4.2</v>
      </c>
      <c r="M189">
        <v>712546.38</v>
      </c>
      <c r="N189">
        <v>101480.04</v>
      </c>
    </row>
    <row r="190" spans="1:14">
      <c r="A190" t="s">
        <v>69</v>
      </c>
      <c r="B190" s="14">
        <v>45658</v>
      </c>
      <c r="C190" t="s">
        <v>15</v>
      </c>
      <c r="D190" t="s">
        <v>18</v>
      </c>
      <c r="E190">
        <v>71641.899999999994</v>
      </c>
      <c r="F190">
        <v>3506</v>
      </c>
      <c r="G190">
        <v>0</v>
      </c>
      <c r="H190">
        <v>11</v>
      </c>
      <c r="I190">
        <v>86.4</v>
      </c>
      <c r="J190">
        <v>7.77</v>
      </c>
      <c r="K190">
        <v>0</v>
      </c>
      <c r="L190">
        <v>4.0999999999999996</v>
      </c>
      <c r="M190">
        <v>625993.82999999996</v>
      </c>
      <c r="N190">
        <v>98960.320000000007</v>
      </c>
    </row>
    <row r="191" spans="1:14">
      <c r="A191" t="s">
        <v>69</v>
      </c>
      <c r="B191" s="14">
        <v>45689</v>
      </c>
      <c r="C191" t="s">
        <v>15</v>
      </c>
      <c r="D191" t="s">
        <v>18</v>
      </c>
      <c r="E191">
        <v>55788.61</v>
      </c>
      <c r="F191">
        <v>2312</v>
      </c>
      <c r="G191">
        <v>5.8000000000000003E-2</v>
      </c>
      <c r="H191">
        <v>10</v>
      </c>
      <c r="I191">
        <v>91.3</v>
      </c>
      <c r="J191">
        <v>1.99</v>
      </c>
      <c r="K191">
        <v>0</v>
      </c>
      <c r="L191">
        <v>3.8</v>
      </c>
      <c r="M191">
        <v>550962.93000000005</v>
      </c>
      <c r="N191">
        <v>97144.58</v>
      </c>
    </row>
    <row r="192" spans="1:14">
      <c r="A192" t="s">
        <v>69</v>
      </c>
      <c r="B192" s="14">
        <v>45717</v>
      </c>
      <c r="C192" t="s">
        <v>15</v>
      </c>
      <c r="D192" t="s">
        <v>18</v>
      </c>
      <c r="E192">
        <v>37705.879999999997</v>
      </c>
      <c r="F192">
        <v>1268</v>
      </c>
      <c r="G192">
        <v>0.25900000000000001</v>
      </c>
      <c r="H192">
        <v>9</v>
      </c>
      <c r="I192">
        <v>84.1</v>
      </c>
      <c r="J192">
        <v>4.7699999999999996</v>
      </c>
      <c r="K192">
        <v>0</v>
      </c>
      <c r="L192">
        <v>3.8</v>
      </c>
      <c r="M192">
        <v>443275.59</v>
      </c>
      <c r="N192">
        <v>53544.36</v>
      </c>
    </row>
    <row r="193" spans="1:14">
      <c r="A193" t="s">
        <v>69</v>
      </c>
      <c r="B193" s="14">
        <v>45748</v>
      </c>
      <c r="C193" t="s">
        <v>15</v>
      </c>
      <c r="D193" t="s">
        <v>18</v>
      </c>
      <c r="E193">
        <v>54966.18</v>
      </c>
      <c r="F193">
        <v>4423</v>
      </c>
      <c r="G193">
        <v>0.186</v>
      </c>
      <c r="H193">
        <v>13</v>
      </c>
      <c r="I193">
        <v>88.7</v>
      </c>
      <c r="J193">
        <v>0.2</v>
      </c>
      <c r="K193">
        <v>0</v>
      </c>
      <c r="L193">
        <v>4.4000000000000004</v>
      </c>
      <c r="M193">
        <v>554012.06999999995</v>
      </c>
      <c r="N193">
        <v>81101.62</v>
      </c>
    </row>
    <row r="194" spans="1:14">
      <c r="A194" t="s">
        <v>70</v>
      </c>
      <c r="B194" s="14">
        <v>45658</v>
      </c>
      <c r="C194" t="s">
        <v>27</v>
      </c>
      <c r="D194" t="s">
        <v>16</v>
      </c>
      <c r="E194">
        <v>81796.740000000005</v>
      </c>
      <c r="F194">
        <v>6177</v>
      </c>
      <c r="G194">
        <v>0.16400000000000001</v>
      </c>
      <c r="H194">
        <v>14</v>
      </c>
      <c r="I194">
        <v>87.9</v>
      </c>
      <c r="J194">
        <v>0.53</v>
      </c>
      <c r="K194">
        <v>0</v>
      </c>
      <c r="L194">
        <v>3.2</v>
      </c>
      <c r="M194">
        <v>643428.85</v>
      </c>
      <c r="N194">
        <v>94477.63</v>
      </c>
    </row>
    <row r="195" spans="1:14">
      <c r="A195" t="s">
        <v>70</v>
      </c>
      <c r="B195" s="14">
        <v>45689</v>
      </c>
      <c r="C195" t="s">
        <v>27</v>
      </c>
      <c r="D195" t="s">
        <v>16</v>
      </c>
      <c r="E195">
        <v>51133.43</v>
      </c>
      <c r="F195">
        <v>5150</v>
      </c>
      <c r="G195">
        <v>0.15</v>
      </c>
      <c r="H195">
        <v>12</v>
      </c>
      <c r="I195">
        <v>88.5</v>
      </c>
      <c r="J195">
        <v>1.54</v>
      </c>
      <c r="K195">
        <v>0</v>
      </c>
      <c r="L195">
        <v>3.2</v>
      </c>
      <c r="M195">
        <v>611924.27</v>
      </c>
      <c r="N195">
        <v>115488.75</v>
      </c>
    </row>
    <row r="196" spans="1:14">
      <c r="A196" t="s">
        <v>70</v>
      </c>
      <c r="B196" s="14">
        <v>45717</v>
      </c>
      <c r="C196" t="s">
        <v>27</v>
      </c>
      <c r="D196" t="s">
        <v>16</v>
      </c>
      <c r="E196">
        <v>40220.18</v>
      </c>
      <c r="F196">
        <v>3783</v>
      </c>
      <c r="G196">
        <v>8.8999999999999996E-2</v>
      </c>
      <c r="H196">
        <v>14</v>
      </c>
      <c r="I196">
        <v>86.6</v>
      </c>
      <c r="J196">
        <v>3.63</v>
      </c>
      <c r="K196">
        <v>0</v>
      </c>
      <c r="L196">
        <v>3.7</v>
      </c>
      <c r="M196">
        <v>559422.02</v>
      </c>
      <c r="N196">
        <v>73528.740000000005</v>
      </c>
    </row>
    <row r="197" spans="1:14">
      <c r="A197" t="s">
        <v>70</v>
      </c>
      <c r="B197" s="14">
        <v>45748</v>
      </c>
      <c r="C197" t="s">
        <v>27</v>
      </c>
      <c r="D197" t="s">
        <v>16</v>
      </c>
      <c r="E197">
        <v>41657.64</v>
      </c>
      <c r="F197">
        <v>3135</v>
      </c>
      <c r="G197">
        <v>0.22900000000000001</v>
      </c>
      <c r="H197">
        <v>7</v>
      </c>
      <c r="I197">
        <v>85.4</v>
      </c>
      <c r="J197">
        <v>13.48</v>
      </c>
      <c r="K197">
        <v>0</v>
      </c>
      <c r="L197">
        <v>3.92</v>
      </c>
      <c r="M197">
        <v>449465.06</v>
      </c>
      <c r="N197">
        <v>65694.78</v>
      </c>
    </row>
    <row r="198" spans="1:14">
      <c r="A198" t="s">
        <v>71</v>
      </c>
      <c r="B198" s="14">
        <v>45658</v>
      </c>
      <c r="C198" t="s">
        <v>20</v>
      </c>
      <c r="D198" t="s">
        <v>16</v>
      </c>
      <c r="E198">
        <v>71851.45</v>
      </c>
      <c r="F198">
        <v>4970</v>
      </c>
      <c r="G198">
        <v>9.8000000000000004E-2</v>
      </c>
      <c r="H198">
        <v>11</v>
      </c>
      <c r="I198">
        <v>89.6</v>
      </c>
      <c r="J198">
        <v>0.2</v>
      </c>
      <c r="K198">
        <v>0</v>
      </c>
      <c r="L198">
        <v>4.2</v>
      </c>
      <c r="M198">
        <v>691447.43</v>
      </c>
      <c r="N198">
        <v>114077.69</v>
      </c>
    </row>
    <row r="199" spans="1:14">
      <c r="A199" t="s">
        <v>71</v>
      </c>
      <c r="B199" s="14">
        <v>45689</v>
      </c>
      <c r="C199" t="s">
        <v>20</v>
      </c>
      <c r="D199" t="s">
        <v>16</v>
      </c>
      <c r="E199">
        <v>54002.83</v>
      </c>
      <c r="F199">
        <v>4366</v>
      </c>
      <c r="G199">
        <v>2.7E-2</v>
      </c>
      <c r="H199">
        <v>15</v>
      </c>
      <c r="I199">
        <v>90.6</v>
      </c>
      <c r="J199">
        <v>12.82</v>
      </c>
      <c r="K199">
        <v>0</v>
      </c>
      <c r="L199">
        <v>4.5999999999999996</v>
      </c>
      <c r="M199">
        <v>574066.61</v>
      </c>
      <c r="N199">
        <v>124674.67</v>
      </c>
    </row>
    <row r="200" spans="1:14">
      <c r="A200" t="s">
        <v>71</v>
      </c>
      <c r="B200" s="14">
        <v>45717</v>
      </c>
      <c r="C200" t="s">
        <v>20</v>
      </c>
      <c r="D200" t="s">
        <v>16</v>
      </c>
      <c r="E200">
        <v>54479.33</v>
      </c>
      <c r="F200">
        <v>5012</v>
      </c>
      <c r="G200">
        <v>0.28399999999999997</v>
      </c>
      <c r="H200">
        <v>13</v>
      </c>
      <c r="I200">
        <v>86</v>
      </c>
      <c r="J200">
        <v>2.2400000000000002</v>
      </c>
      <c r="K200">
        <v>1</v>
      </c>
      <c r="L200">
        <v>4.3</v>
      </c>
      <c r="M200">
        <v>578949.84</v>
      </c>
      <c r="N200">
        <v>80253.649999999994</v>
      </c>
    </row>
    <row r="201" spans="1:14">
      <c r="A201" t="s">
        <v>71</v>
      </c>
      <c r="B201" s="14">
        <v>45748</v>
      </c>
      <c r="C201" t="s">
        <v>20</v>
      </c>
      <c r="D201" t="s">
        <v>16</v>
      </c>
      <c r="E201">
        <v>61391.8</v>
      </c>
      <c r="F201">
        <v>5575</v>
      </c>
      <c r="G201">
        <v>0.189</v>
      </c>
      <c r="H201">
        <v>18</v>
      </c>
      <c r="I201">
        <v>90</v>
      </c>
      <c r="J201">
        <v>1.8</v>
      </c>
      <c r="K201">
        <v>0</v>
      </c>
      <c r="L201">
        <v>4.8</v>
      </c>
      <c r="M201">
        <v>735786.64</v>
      </c>
      <c r="N201">
        <v>126540.66</v>
      </c>
    </row>
    <row r="202" spans="1:14">
      <c r="A202" t="s">
        <v>72</v>
      </c>
      <c r="B202" s="14">
        <v>45658</v>
      </c>
      <c r="C202" t="s">
        <v>15</v>
      </c>
      <c r="D202" t="s">
        <v>21</v>
      </c>
      <c r="E202">
        <v>22312.93</v>
      </c>
      <c r="F202">
        <v>5955</v>
      </c>
      <c r="G202">
        <v>0.123</v>
      </c>
      <c r="H202">
        <v>13</v>
      </c>
      <c r="I202">
        <v>84.2</v>
      </c>
      <c r="J202">
        <v>0.41</v>
      </c>
      <c r="K202">
        <v>1</v>
      </c>
      <c r="L202">
        <v>4.5999999999999996</v>
      </c>
      <c r="M202">
        <v>598904.9</v>
      </c>
      <c r="N202">
        <v>72861</v>
      </c>
    </row>
    <row r="203" spans="1:14">
      <c r="A203" t="s">
        <v>72</v>
      </c>
      <c r="B203" s="14">
        <v>45689</v>
      </c>
      <c r="C203" t="s">
        <v>15</v>
      </c>
      <c r="D203" t="s">
        <v>21</v>
      </c>
      <c r="E203">
        <v>78111.97</v>
      </c>
      <c r="F203">
        <v>6389</v>
      </c>
      <c r="G203">
        <v>0.15</v>
      </c>
      <c r="H203">
        <v>13</v>
      </c>
      <c r="I203">
        <v>83.9</v>
      </c>
      <c r="J203">
        <v>3.05</v>
      </c>
      <c r="K203">
        <v>0</v>
      </c>
      <c r="L203">
        <v>4.8</v>
      </c>
      <c r="M203">
        <v>787715.51</v>
      </c>
      <c r="N203">
        <v>128969.62</v>
      </c>
    </row>
    <row r="204" spans="1:14">
      <c r="A204" t="s">
        <v>72</v>
      </c>
      <c r="B204" s="14">
        <v>45717</v>
      </c>
      <c r="C204" t="s">
        <v>15</v>
      </c>
      <c r="D204" t="s">
        <v>21</v>
      </c>
      <c r="E204">
        <v>35203.230000000003</v>
      </c>
      <c r="F204">
        <v>6896</v>
      </c>
      <c r="G204">
        <v>3.2000000000000001E-2</v>
      </c>
      <c r="H204">
        <v>14</v>
      </c>
      <c r="I204">
        <v>80.8</v>
      </c>
      <c r="J204">
        <v>8.44</v>
      </c>
      <c r="K204">
        <v>1</v>
      </c>
      <c r="L204">
        <v>5</v>
      </c>
      <c r="M204">
        <v>607084.92000000004</v>
      </c>
      <c r="N204">
        <v>98558.49</v>
      </c>
    </row>
    <row r="205" spans="1:14">
      <c r="A205" t="s">
        <v>72</v>
      </c>
      <c r="B205" s="14">
        <v>45748</v>
      </c>
      <c r="C205" t="s">
        <v>15</v>
      </c>
      <c r="D205" t="s">
        <v>21</v>
      </c>
      <c r="E205">
        <v>64104.28</v>
      </c>
      <c r="F205">
        <v>6015</v>
      </c>
      <c r="G205">
        <v>0.127</v>
      </c>
      <c r="H205">
        <v>15</v>
      </c>
      <c r="I205">
        <v>88.7</v>
      </c>
      <c r="J205">
        <v>0.78</v>
      </c>
      <c r="K205">
        <v>0</v>
      </c>
      <c r="L205">
        <v>4</v>
      </c>
      <c r="M205">
        <v>650795.49</v>
      </c>
      <c r="N205">
        <v>103035.89</v>
      </c>
    </row>
    <row r="206" spans="1:14">
      <c r="A206" t="s">
        <v>73</v>
      </c>
      <c r="B206" s="14">
        <v>45658</v>
      </c>
      <c r="C206" t="s">
        <v>15</v>
      </c>
      <c r="D206" t="s">
        <v>28</v>
      </c>
      <c r="E206">
        <v>92090.14</v>
      </c>
      <c r="F206">
        <v>9476</v>
      </c>
      <c r="G206">
        <v>7.0000000000000007E-2</v>
      </c>
      <c r="H206">
        <v>24</v>
      </c>
      <c r="I206">
        <v>94.3</v>
      </c>
      <c r="J206">
        <v>0.87</v>
      </c>
      <c r="K206">
        <v>0</v>
      </c>
      <c r="L206">
        <v>3.7</v>
      </c>
      <c r="M206">
        <v>825060.52</v>
      </c>
      <c r="N206">
        <v>143613.15</v>
      </c>
    </row>
    <row r="207" spans="1:14">
      <c r="A207" t="s">
        <v>73</v>
      </c>
      <c r="B207" s="14">
        <v>45689</v>
      </c>
      <c r="C207" t="s">
        <v>15</v>
      </c>
      <c r="D207" t="s">
        <v>28</v>
      </c>
      <c r="E207">
        <v>54300.87</v>
      </c>
      <c r="F207">
        <v>7875</v>
      </c>
      <c r="G207">
        <v>0.107</v>
      </c>
      <c r="H207">
        <v>19</v>
      </c>
      <c r="I207">
        <v>94.1</v>
      </c>
      <c r="J207">
        <v>0.95</v>
      </c>
      <c r="K207">
        <v>0</v>
      </c>
      <c r="L207">
        <v>3.7</v>
      </c>
      <c r="M207">
        <v>795464.47</v>
      </c>
      <c r="N207">
        <v>161150.51999999999</v>
      </c>
    </row>
    <row r="208" spans="1:14">
      <c r="A208" t="s">
        <v>73</v>
      </c>
      <c r="B208" s="14">
        <v>45717</v>
      </c>
      <c r="C208" t="s">
        <v>15</v>
      </c>
      <c r="D208" t="s">
        <v>28</v>
      </c>
      <c r="E208">
        <v>37983.35</v>
      </c>
      <c r="F208">
        <v>9283</v>
      </c>
      <c r="G208">
        <v>0.14899999999999999</v>
      </c>
      <c r="H208">
        <v>19</v>
      </c>
      <c r="I208">
        <v>83.2</v>
      </c>
      <c r="J208">
        <v>3.82</v>
      </c>
      <c r="K208">
        <v>0</v>
      </c>
      <c r="L208">
        <v>3.7</v>
      </c>
      <c r="M208">
        <v>671868.59</v>
      </c>
      <c r="N208">
        <v>71003.28</v>
      </c>
    </row>
    <row r="209" spans="1:14">
      <c r="A209" t="s">
        <v>73</v>
      </c>
      <c r="B209" s="14">
        <v>45748</v>
      </c>
      <c r="C209" t="s">
        <v>15</v>
      </c>
      <c r="D209" t="s">
        <v>28</v>
      </c>
      <c r="E209">
        <v>56413.83</v>
      </c>
      <c r="F209">
        <v>8303</v>
      </c>
      <c r="G209">
        <v>0.11600000000000001</v>
      </c>
      <c r="H209">
        <v>18</v>
      </c>
      <c r="I209">
        <v>93.6</v>
      </c>
      <c r="J209">
        <v>2.7</v>
      </c>
      <c r="K209">
        <v>0</v>
      </c>
      <c r="L209">
        <v>3.7</v>
      </c>
      <c r="M209">
        <v>675917.63</v>
      </c>
      <c r="N209">
        <v>112564.75</v>
      </c>
    </row>
    <row r="210" spans="1:14">
      <c r="A210" t="s">
        <v>74</v>
      </c>
      <c r="B210" s="14">
        <v>45658</v>
      </c>
      <c r="C210" t="s">
        <v>15</v>
      </c>
      <c r="D210" t="s">
        <v>18</v>
      </c>
      <c r="E210">
        <v>63457.19</v>
      </c>
      <c r="F210">
        <v>10125</v>
      </c>
      <c r="G210">
        <v>9.7000000000000003E-2</v>
      </c>
      <c r="H210">
        <v>24</v>
      </c>
      <c r="I210">
        <v>87</v>
      </c>
      <c r="J210">
        <v>3.84</v>
      </c>
      <c r="K210">
        <v>1</v>
      </c>
      <c r="L210">
        <v>3.7</v>
      </c>
      <c r="M210">
        <v>810446.53</v>
      </c>
      <c r="N210">
        <v>200575.34</v>
      </c>
    </row>
    <row r="211" spans="1:14">
      <c r="A211" t="s">
        <v>74</v>
      </c>
      <c r="B211" s="14">
        <v>45689</v>
      </c>
      <c r="C211" t="s">
        <v>15</v>
      </c>
      <c r="D211" t="s">
        <v>18</v>
      </c>
      <c r="E211">
        <v>62949.7</v>
      </c>
      <c r="F211">
        <v>9458</v>
      </c>
      <c r="G211">
        <v>0.17100000000000001</v>
      </c>
      <c r="H211">
        <v>19</v>
      </c>
      <c r="I211">
        <v>84.9</v>
      </c>
      <c r="J211">
        <v>5.09</v>
      </c>
      <c r="K211">
        <v>0</v>
      </c>
      <c r="L211">
        <v>3.3</v>
      </c>
      <c r="M211">
        <v>691288.19</v>
      </c>
      <c r="N211">
        <v>159074.14000000001</v>
      </c>
    </row>
    <row r="212" spans="1:14">
      <c r="A212" t="s">
        <v>74</v>
      </c>
      <c r="B212" s="14">
        <v>45717</v>
      </c>
      <c r="C212" t="s">
        <v>15</v>
      </c>
      <c r="D212" t="s">
        <v>18</v>
      </c>
      <c r="E212">
        <v>107970.19</v>
      </c>
      <c r="F212">
        <v>12870</v>
      </c>
      <c r="G212">
        <v>2.9000000000000001E-2</v>
      </c>
      <c r="H212">
        <v>31</v>
      </c>
      <c r="I212">
        <v>91.7</v>
      </c>
      <c r="J212">
        <v>3.82</v>
      </c>
      <c r="K212">
        <v>1</v>
      </c>
      <c r="L212">
        <v>3.7</v>
      </c>
      <c r="M212">
        <v>946833.54</v>
      </c>
      <c r="N212">
        <v>184540.31</v>
      </c>
    </row>
    <row r="213" spans="1:14">
      <c r="A213" t="s">
        <v>74</v>
      </c>
      <c r="B213" s="14">
        <v>45748</v>
      </c>
      <c r="C213" t="s">
        <v>15</v>
      </c>
      <c r="D213" t="s">
        <v>18</v>
      </c>
      <c r="E213">
        <v>49405.75</v>
      </c>
      <c r="F213">
        <v>9752</v>
      </c>
      <c r="G213">
        <v>9.2999999999999999E-2</v>
      </c>
      <c r="H213">
        <v>21</v>
      </c>
      <c r="I213">
        <v>87</v>
      </c>
      <c r="J213">
        <v>12.28</v>
      </c>
      <c r="K213">
        <v>0</v>
      </c>
      <c r="L213">
        <v>4.0999999999999996</v>
      </c>
      <c r="M213">
        <v>761963.23</v>
      </c>
      <c r="N213">
        <v>150113.60999999999</v>
      </c>
    </row>
    <row r="214" spans="1:14">
      <c r="A214" t="s">
        <v>75</v>
      </c>
      <c r="B214" s="14">
        <v>45658</v>
      </c>
      <c r="C214" t="s">
        <v>27</v>
      </c>
      <c r="D214" t="s">
        <v>16</v>
      </c>
      <c r="E214">
        <v>50887.46</v>
      </c>
      <c r="F214">
        <v>9505</v>
      </c>
      <c r="G214">
        <v>9.0999999999999998E-2</v>
      </c>
      <c r="H214">
        <v>25</v>
      </c>
      <c r="I214">
        <v>89.7</v>
      </c>
      <c r="J214">
        <v>2.8</v>
      </c>
      <c r="K214">
        <v>0</v>
      </c>
      <c r="L214">
        <v>4.3</v>
      </c>
      <c r="M214">
        <v>812152.6</v>
      </c>
      <c r="N214">
        <v>138419.43</v>
      </c>
    </row>
    <row r="215" spans="1:14">
      <c r="A215" t="s">
        <v>75</v>
      </c>
      <c r="B215" s="14">
        <v>45689</v>
      </c>
      <c r="C215" t="s">
        <v>27</v>
      </c>
      <c r="D215" t="s">
        <v>16</v>
      </c>
      <c r="E215">
        <v>41819.449999999997</v>
      </c>
      <c r="F215">
        <v>9412</v>
      </c>
      <c r="G215">
        <v>0.15</v>
      </c>
      <c r="H215">
        <v>22</v>
      </c>
      <c r="I215">
        <v>91</v>
      </c>
      <c r="J215">
        <v>3.67</v>
      </c>
      <c r="K215">
        <v>0</v>
      </c>
      <c r="L215">
        <v>4.2</v>
      </c>
      <c r="M215">
        <v>804975.5</v>
      </c>
      <c r="N215">
        <v>140054.5</v>
      </c>
    </row>
    <row r="216" spans="1:14">
      <c r="A216" t="s">
        <v>75</v>
      </c>
      <c r="B216" s="14">
        <v>45717</v>
      </c>
      <c r="C216" t="s">
        <v>27</v>
      </c>
      <c r="D216" t="s">
        <v>16</v>
      </c>
      <c r="E216">
        <v>35296.54</v>
      </c>
      <c r="F216">
        <v>9644</v>
      </c>
      <c r="G216">
        <v>0</v>
      </c>
      <c r="H216">
        <v>22</v>
      </c>
      <c r="I216">
        <v>88</v>
      </c>
      <c r="J216">
        <v>2.81</v>
      </c>
      <c r="K216">
        <v>0</v>
      </c>
      <c r="L216">
        <v>4.7</v>
      </c>
      <c r="M216">
        <v>752321.72</v>
      </c>
      <c r="N216">
        <v>137788.51</v>
      </c>
    </row>
    <row r="217" spans="1:14">
      <c r="A217" t="s">
        <v>75</v>
      </c>
      <c r="B217" s="14">
        <v>45748</v>
      </c>
      <c r="C217" t="s">
        <v>27</v>
      </c>
      <c r="D217" t="s">
        <v>16</v>
      </c>
      <c r="E217">
        <v>47391.09</v>
      </c>
      <c r="F217">
        <v>11224</v>
      </c>
      <c r="G217">
        <v>0.14699999999999999</v>
      </c>
      <c r="H217">
        <v>25</v>
      </c>
      <c r="I217">
        <v>88.4</v>
      </c>
      <c r="J217">
        <v>2.44</v>
      </c>
      <c r="K217">
        <v>0</v>
      </c>
      <c r="L217">
        <v>4.9000000000000004</v>
      </c>
      <c r="M217">
        <v>836908.24</v>
      </c>
      <c r="N217">
        <v>141090.26</v>
      </c>
    </row>
    <row r="218" spans="1:14">
      <c r="A218" t="s">
        <v>76</v>
      </c>
      <c r="B218" s="14">
        <v>45658</v>
      </c>
      <c r="C218" t="s">
        <v>20</v>
      </c>
      <c r="D218" t="s">
        <v>21</v>
      </c>
      <c r="E218">
        <v>69180.539999999994</v>
      </c>
      <c r="F218">
        <v>5394</v>
      </c>
      <c r="G218">
        <v>0.126</v>
      </c>
      <c r="H218">
        <v>12</v>
      </c>
      <c r="I218">
        <v>82.9</v>
      </c>
      <c r="J218">
        <v>3.27</v>
      </c>
      <c r="K218">
        <v>0</v>
      </c>
      <c r="L218">
        <v>3.3</v>
      </c>
      <c r="M218">
        <v>674289.1</v>
      </c>
      <c r="N218">
        <v>117773.79</v>
      </c>
    </row>
    <row r="219" spans="1:14">
      <c r="A219" t="s">
        <v>76</v>
      </c>
      <c r="B219" s="14">
        <v>45689</v>
      </c>
      <c r="C219" t="s">
        <v>20</v>
      </c>
      <c r="D219" t="s">
        <v>21</v>
      </c>
      <c r="E219">
        <v>33987.33</v>
      </c>
      <c r="F219">
        <v>5014</v>
      </c>
      <c r="G219">
        <v>0.246</v>
      </c>
      <c r="H219">
        <v>17</v>
      </c>
      <c r="I219">
        <v>94.3</v>
      </c>
      <c r="J219">
        <v>10.34</v>
      </c>
      <c r="K219">
        <v>0</v>
      </c>
      <c r="L219">
        <v>3.9</v>
      </c>
      <c r="M219">
        <v>622892.42000000004</v>
      </c>
      <c r="N219">
        <v>101032.52</v>
      </c>
    </row>
    <row r="220" spans="1:14">
      <c r="A220" t="s">
        <v>76</v>
      </c>
      <c r="B220" s="14">
        <v>45717</v>
      </c>
      <c r="C220" t="s">
        <v>20</v>
      </c>
      <c r="D220" t="s">
        <v>21</v>
      </c>
      <c r="E220">
        <v>58785.33</v>
      </c>
      <c r="F220">
        <v>4467</v>
      </c>
      <c r="G220">
        <v>0.22900000000000001</v>
      </c>
      <c r="H220">
        <v>14</v>
      </c>
      <c r="I220">
        <v>90.7</v>
      </c>
      <c r="J220">
        <v>1.92</v>
      </c>
      <c r="K220">
        <v>0</v>
      </c>
      <c r="L220">
        <v>3.7</v>
      </c>
      <c r="M220">
        <v>673348.56</v>
      </c>
      <c r="N220">
        <v>69464.59</v>
      </c>
    </row>
    <row r="221" spans="1:14">
      <c r="A221" t="s">
        <v>76</v>
      </c>
      <c r="B221" s="14">
        <v>45748</v>
      </c>
      <c r="C221" t="s">
        <v>20</v>
      </c>
      <c r="D221" t="s">
        <v>21</v>
      </c>
      <c r="E221">
        <v>16451.849999999999</v>
      </c>
      <c r="F221">
        <v>4678</v>
      </c>
      <c r="G221">
        <v>0.13300000000000001</v>
      </c>
      <c r="H221">
        <v>11</v>
      </c>
      <c r="I221">
        <v>95.9</v>
      </c>
      <c r="J221">
        <v>3.1</v>
      </c>
      <c r="K221">
        <v>0</v>
      </c>
      <c r="L221">
        <v>3.9</v>
      </c>
      <c r="M221">
        <v>606278.30000000005</v>
      </c>
      <c r="N221">
        <v>102213.26</v>
      </c>
    </row>
    <row r="222" spans="1:14">
      <c r="A222" t="s">
        <v>77</v>
      </c>
      <c r="B222" s="14">
        <v>45658</v>
      </c>
      <c r="C222" t="s">
        <v>15</v>
      </c>
      <c r="D222" t="s">
        <v>18</v>
      </c>
      <c r="E222">
        <v>53367.73</v>
      </c>
      <c r="F222">
        <v>7291</v>
      </c>
      <c r="G222">
        <v>0.14599999999999999</v>
      </c>
      <c r="H222">
        <v>18</v>
      </c>
      <c r="I222">
        <v>90.6</v>
      </c>
      <c r="J222">
        <v>6.34</v>
      </c>
      <c r="K222">
        <v>1</v>
      </c>
      <c r="L222">
        <v>3.8</v>
      </c>
      <c r="M222">
        <v>712219.81</v>
      </c>
      <c r="N222">
        <v>85906.54</v>
      </c>
    </row>
    <row r="223" spans="1:14">
      <c r="A223" t="s">
        <v>77</v>
      </c>
      <c r="B223" s="14">
        <v>45689</v>
      </c>
      <c r="C223" t="s">
        <v>15</v>
      </c>
      <c r="D223" t="s">
        <v>18</v>
      </c>
      <c r="E223">
        <v>27194.639999999999</v>
      </c>
      <c r="F223">
        <v>7404</v>
      </c>
      <c r="G223">
        <v>8.7999999999999995E-2</v>
      </c>
      <c r="H223">
        <v>18</v>
      </c>
      <c r="I223">
        <v>90.2</v>
      </c>
      <c r="J223">
        <v>1.2</v>
      </c>
      <c r="K223">
        <v>0</v>
      </c>
      <c r="L223">
        <v>3.4</v>
      </c>
      <c r="M223">
        <v>672670.54</v>
      </c>
      <c r="N223">
        <v>132684.18</v>
      </c>
    </row>
    <row r="224" spans="1:14">
      <c r="A224" t="s">
        <v>77</v>
      </c>
      <c r="B224" s="14">
        <v>45717</v>
      </c>
      <c r="C224" t="s">
        <v>15</v>
      </c>
      <c r="D224" t="s">
        <v>18</v>
      </c>
      <c r="E224">
        <v>66962.740000000005</v>
      </c>
      <c r="F224">
        <v>7880</v>
      </c>
      <c r="G224">
        <v>0.11600000000000001</v>
      </c>
      <c r="H224">
        <v>19</v>
      </c>
      <c r="I224">
        <v>90.4</v>
      </c>
      <c r="J224">
        <v>4.5</v>
      </c>
      <c r="K224">
        <v>0</v>
      </c>
      <c r="L224">
        <v>3.3</v>
      </c>
      <c r="M224">
        <v>732667.92</v>
      </c>
      <c r="N224">
        <v>128654.46</v>
      </c>
    </row>
    <row r="225" spans="1:14">
      <c r="A225" t="s">
        <v>77</v>
      </c>
      <c r="B225" s="14">
        <v>45748</v>
      </c>
      <c r="C225" t="s">
        <v>15</v>
      </c>
      <c r="D225" t="s">
        <v>18</v>
      </c>
      <c r="E225">
        <v>73540.990000000005</v>
      </c>
      <c r="F225">
        <v>8773</v>
      </c>
      <c r="G225">
        <v>3.5000000000000003E-2</v>
      </c>
      <c r="H225">
        <v>21</v>
      </c>
      <c r="I225">
        <v>84.4</v>
      </c>
      <c r="J225">
        <v>6.68</v>
      </c>
      <c r="K225">
        <v>0</v>
      </c>
      <c r="L225">
        <v>3.6</v>
      </c>
      <c r="M225">
        <v>723531.4</v>
      </c>
      <c r="N225">
        <v>108794.85</v>
      </c>
    </row>
    <row r="226" spans="1:14">
      <c r="A226" t="s">
        <v>78</v>
      </c>
      <c r="B226" s="14">
        <v>45658</v>
      </c>
      <c r="C226" t="s">
        <v>15</v>
      </c>
      <c r="D226" t="s">
        <v>28</v>
      </c>
      <c r="E226">
        <v>68212.289999999994</v>
      </c>
      <c r="F226">
        <v>4713</v>
      </c>
      <c r="G226">
        <v>0.19800000000000001</v>
      </c>
      <c r="H226">
        <v>15</v>
      </c>
      <c r="I226">
        <v>82.6</v>
      </c>
      <c r="J226">
        <v>4.07</v>
      </c>
      <c r="K226">
        <v>1</v>
      </c>
      <c r="L226">
        <v>3</v>
      </c>
      <c r="M226">
        <v>641564.6</v>
      </c>
      <c r="N226">
        <v>90468.96</v>
      </c>
    </row>
    <row r="227" spans="1:14">
      <c r="A227" t="s">
        <v>78</v>
      </c>
      <c r="B227" s="14">
        <v>45689</v>
      </c>
      <c r="C227" t="s">
        <v>15</v>
      </c>
      <c r="D227" t="s">
        <v>28</v>
      </c>
      <c r="E227">
        <v>57225.98</v>
      </c>
      <c r="F227">
        <v>2842</v>
      </c>
      <c r="G227">
        <v>0.112</v>
      </c>
      <c r="H227">
        <v>10</v>
      </c>
      <c r="I227">
        <v>79.5</v>
      </c>
      <c r="J227">
        <v>5.45</v>
      </c>
      <c r="K227">
        <v>0</v>
      </c>
      <c r="L227">
        <v>3.4</v>
      </c>
      <c r="M227">
        <v>536545.49</v>
      </c>
      <c r="N227">
        <v>97917.45</v>
      </c>
    </row>
    <row r="228" spans="1:14">
      <c r="A228" t="s">
        <v>78</v>
      </c>
      <c r="B228" s="14">
        <v>45717</v>
      </c>
      <c r="C228" t="s">
        <v>15</v>
      </c>
      <c r="D228" t="s">
        <v>28</v>
      </c>
      <c r="E228">
        <v>42932.02</v>
      </c>
      <c r="F228">
        <v>3872</v>
      </c>
      <c r="G228">
        <v>0.17100000000000001</v>
      </c>
      <c r="H228">
        <v>12</v>
      </c>
      <c r="I228">
        <v>83.2</v>
      </c>
      <c r="J228">
        <v>15.58</v>
      </c>
      <c r="K228">
        <v>0</v>
      </c>
      <c r="L228">
        <v>3.3</v>
      </c>
      <c r="M228">
        <v>527681.56000000006</v>
      </c>
      <c r="N228">
        <v>63153.05</v>
      </c>
    </row>
    <row r="229" spans="1:14">
      <c r="A229" t="s">
        <v>78</v>
      </c>
      <c r="B229" s="14">
        <v>45748</v>
      </c>
      <c r="C229" t="s">
        <v>15</v>
      </c>
      <c r="D229" t="s">
        <v>28</v>
      </c>
      <c r="E229">
        <v>39341.449999999997</v>
      </c>
      <c r="F229">
        <v>1375</v>
      </c>
      <c r="G229">
        <v>9.2999999999999999E-2</v>
      </c>
      <c r="H229">
        <v>5</v>
      </c>
      <c r="I229">
        <v>95</v>
      </c>
      <c r="J229">
        <v>5.32</v>
      </c>
      <c r="K229">
        <v>0</v>
      </c>
      <c r="L229">
        <v>3.92</v>
      </c>
      <c r="M229">
        <v>529598.93999999994</v>
      </c>
      <c r="N229">
        <v>84334.33</v>
      </c>
    </row>
    <row r="230" spans="1:14">
      <c r="A230" t="s">
        <v>79</v>
      </c>
      <c r="B230" s="14">
        <v>45658</v>
      </c>
      <c r="C230" t="s">
        <v>15</v>
      </c>
      <c r="D230" t="s">
        <v>18</v>
      </c>
      <c r="E230">
        <v>37324.230000000003</v>
      </c>
      <c r="F230">
        <v>5957</v>
      </c>
      <c r="G230">
        <v>7.0999999999999994E-2</v>
      </c>
      <c r="H230">
        <v>12</v>
      </c>
      <c r="I230">
        <v>85.9</v>
      </c>
      <c r="J230">
        <v>0.37</v>
      </c>
      <c r="K230">
        <v>0</v>
      </c>
      <c r="L230">
        <v>3.8</v>
      </c>
      <c r="M230">
        <v>570963.31000000006</v>
      </c>
      <c r="N230">
        <v>87342.25</v>
      </c>
    </row>
    <row r="231" spans="1:14">
      <c r="A231" t="s">
        <v>79</v>
      </c>
      <c r="B231" s="14">
        <v>45689</v>
      </c>
      <c r="C231" t="s">
        <v>15</v>
      </c>
      <c r="D231" t="s">
        <v>18</v>
      </c>
      <c r="E231">
        <v>113736</v>
      </c>
      <c r="F231">
        <v>8961</v>
      </c>
      <c r="G231">
        <v>0.20200000000000001</v>
      </c>
      <c r="H231">
        <v>24</v>
      </c>
      <c r="I231">
        <v>86.2</v>
      </c>
      <c r="J231">
        <v>21.63</v>
      </c>
      <c r="K231">
        <v>0</v>
      </c>
      <c r="L231">
        <v>4</v>
      </c>
      <c r="M231">
        <v>870937.4</v>
      </c>
      <c r="N231">
        <v>175282.74</v>
      </c>
    </row>
    <row r="232" spans="1:14">
      <c r="A232" t="s">
        <v>79</v>
      </c>
      <c r="B232" s="14">
        <v>45717</v>
      </c>
      <c r="C232" t="s">
        <v>15</v>
      </c>
      <c r="D232" t="s">
        <v>18</v>
      </c>
      <c r="E232">
        <v>33173.949999999997</v>
      </c>
      <c r="F232">
        <v>6545</v>
      </c>
      <c r="G232">
        <v>0.16900000000000001</v>
      </c>
      <c r="H232">
        <v>15</v>
      </c>
      <c r="I232">
        <v>84.4</v>
      </c>
      <c r="J232">
        <v>2.48</v>
      </c>
      <c r="K232">
        <v>0</v>
      </c>
      <c r="L232">
        <v>3.9</v>
      </c>
      <c r="M232">
        <v>596969.27</v>
      </c>
      <c r="N232">
        <v>105669.51</v>
      </c>
    </row>
    <row r="233" spans="1:14">
      <c r="A233" t="s">
        <v>79</v>
      </c>
      <c r="B233" s="14">
        <v>45748</v>
      </c>
      <c r="C233" t="s">
        <v>15</v>
      </c>
      <c r="D233" t="s">
        <v>18</v>
      </c>
      <c r="E233">
        <v>25818.080000000002</v>
      </c>
      <c r="F233">
        <v>5457</v>
      </c>
      <c r="G233">
        <v>0</v>
      </c>
      <c r="H233">
        <v>11</v>
      </c>
      <c r="I233">
        <v>95.4</v>
      </c>
      <c r="J233">
        <v>3.3650000000000002</v>
      </c>
      <c r="K233">
        <v>0</v>
      </c>
      <c r="L233">
        <v>3.7</v>
      </c>
      <c r="M233">
        <v>647512.85</v>
      </c>
      <c r="N233">
        <v>153835.57</v>
      </c>
    </row>
    <row r="234" spans="1:14">
      <c r="A234" t="s">
        <v>80</v>
      </c>
      <c r="B234" s="14">
        <v>45658</v>
      </c>
      <c r="C234" t="s">
        <v>27</v>
      </c>
      <c r="D234" t="s">
        <v>16</v>
      </c>
      <c r="E234">
        <v>47241.919999999998</v>
      </c>
      <c r="F234">
        <v>4264</v>
      </c>
      <c r="G234">
        <v>6.9000000000000006E-2</v>
      </c>
      <c r="H234">
        <v>13</v>
      </c>
      <c r="I234">
        <v>95.3</v>
      </c>
      <c r="J234">
        <v>0.85</v>
      </c>
      <c r="K234">
        <v>0</v>
      </c>
      <c r="L234">
        <v>4.3</v>
      </c>
      <c r="M234">
        <v>658072.14</v>
      </c>
      <c r="N234">
        <v>110595.89</v>
      </c>
    </row>
    <row r="235" spans="1:14">
      <c r="A235" t="s">
        <v>80</v>
      </c>
      <c r="B235" s="14">
        <v>45689</v>
      </c>
      <c r="C235" t="s">
        <v>27</v>
      </c>
      <c r="D235" t="s">
        <v>16</v>
      </c>
      <c r="E235">
        <v>61650.79</v>
      </c>
      <c r="F235">
        <v>5321</v>
      </c>
      <c r="G235">
        <v>0.126</v>
      </c>
      <c r="H235">
        <v>17</v>
      </c>
      <c r="I235">
        <v>89.2</v>
      </c>
      <c r="J235">
        <v>2.13</v>
      </c>
      <c r="K235">
        <v>0</v>
      </c>
      <c r="L235">
        <v>4</v>
      </c>
      <c r="M235">
        <v>723305.11</v>
      </c>
      <c r="N235">
        <v>128468.7</v>
      </c>
    </row>
    <row r="236" spans="1:14">
      <c r="A236" t="s">
        <v>80</v>
      </c>
      <c r="B236" s="14">
        <v>45717</v>
      </c>
      <c r="C236" t="s">
        <v>27</v>
      </c>
      <c r="D236" t="s">
        <v>16</v>
      </c>
      <c r="E236">
        <v>62582.71</v>
      </c>
      <c r="F236">
        <v>5479</v>
      </c>
      <c r="G236">
        <v>4.8000000000000001E-2</v>
      </c>
      <c r="H236">
        <v>16</v>
      </c>
      <c r="I236">
        <v>81.2</v>
      </c>
      <c r="J236">
        <v>1.46</v>
      </c>
      <c r="K236">
        <v>0</v>
      </c>
      <c r="L236">
        <v>4.5</v>
      </c>
      <c r="M236">
        <v>640666.53</v>
      </c>
      <c r="N236">
        <v>134919.16</v>
      </c>
    </row>
    <row r="237" spans="1:14">
      <c r="A237" t="s">
        <v>80</v>
      </c>
      <c r="B237" s="14">
        <v>45748</v>
      </c>
      <c r="C237" t="s">
        <v>27</v>
      </c>
      <c r="D237" t="s">
        <v>16</v>
      </c>
      <c r="E237">
        <v>47944.14</v>
      </c>
      <c r="F237">
        <v>6169</v>
      </c>
      <c r="G237">
        <v>0.11899999999999999</v>
      </c>
      <c r="H237">
        <v>17</v>
      </c>
      <c r="I237">
        <v>92.2</v>
      </c>
      <c r="J237">
        <v>3.02</v>
      </c>
      <c r="K237">
        <v>0</v>
      </c>
      <c r="L237">
        <v>4.0999999999999996</v>
      </c>
      <c r="M237">
        <v>670629.48</v>
      </c>
      <c r="N237">
        <v>100140.8</v>
      </c>
    </row>
    <row r="238" spans="1:14">
      <c r="A238" t="s">
        <v>81</v>
      </c>
      <c r="B238" s="14">
        <v>45658</v>
      </c>
      <c r="C238" t="s">
        <v>27</v>
      </c>
      <c r="D238" t="s">
        <v>28</v>
      </c>
      <c r="E238">
        <v>46495.4</v>
      </c>
      <c r="F238">
        <v>9908</v>
      </c>
      <c r="G238">
        <v>0.121</v>
      </c>
      <c r="H238">
        <v>22</v>
      </c>
      <c r="I238">
        <v>89.4</v>
      </c>
      <c r="J238">
        <v>3.22</v>
      </c>
      <c r="K238">
        <v>0</v>
      </c>
      <c r="L238">
        <v>3.7</v>
      </c>
      <c r="M238">
        <v>721079.35</v>
      </c>
      <c r="N238">
        <v>115295.05</v>
      </c>
    </row>
    <row r="239" spans="1:14">
      <c r="A239" t="s">
        <v>81</v>
      </c>
      <c r="B239" s="14">
        <v>45689</v>
      </c>
      <c r="C239" t="s">
        <v>27</v>
      </c>
      <c r="D239" t="s">
        <v>28</v>
      </c>
      <c r="E239">
        <v>72961.95</v>
      </c>
      <c r="F239">
        <v>9996</v>
      </c>
      <c r="G239">
        <v>0.106</v>
      </c>
      <c r="H239">
        <v>22</v>
      </c>
      <c r="I239">
        <v>89.1</v>
      </c>
      <c r="J239">
        <v>15.66</v>
      </c>
      <c r="K239">
        <v>0</v>
      </c>
      <c r="L239">
        <v>3.4</v>
      </c>
      <c r="M239">
        <v>810355.02</v>
      </c>
      <c r="N239">
        <v>131510</v>
      </c>
    </row>
    <row r="240" spans="1:14">
      <c r="A240" t="s">
        <v>81</v>
      </c>
      <c r="B240" s="14">
        <v>45717</v>
      </c>
      <c r="C240" t="s">
        <v>27</v>
      </c>
      <c r="D240" t="s">
        <v>28</v>
      </c>
      <c r="E240">
        <v>59060.05</v>
      </c>
      <c r="F240">
        <v>9702</v>
      </c>
      <c r="G240">
        <v>0.20100000000000001</v>
      </c>
      <c r="H240">
        <v>23</v>
      </c>
      <c r="I240">
        <v>80.900000000000006</v>
      </c>
      <c r="J240">
        <v>6.96</v>
      </c>
      <c r="K240">
        <v>0</v>
      </c>
      <c r="L240">
        <v>3.2</v>
      </c>
      <c r="M240">
        <v>761919.25</v>
      </c>
      <c r="N240">
        <v>111893.06</v>
      </c>
    </row>
    <row r="241" spans="1:14">
      <c r="A241" t="s">
        <v>81</v>
      </c>
      <c r="B241" s="14">
        <v>45748</v>
      </c>
      <c r="C241" t="s">
        <v>27</v>
      </c>
      <c r="D241" t="s">
        <v>28</v>
      </c>
      <c r="E241">
        <v>26248.1</v>
      </c>
      <c r="F241">
        <v>9314</v>
      </c>
      <c r="G241">
        <v>0.186</v>
      </c>
      <c r="H241">
        <v>21</v>
      </c>
      <c r="I241">
        <v>83.7</v>
      </c>
      <c r="J241">
        <v>4.62</v>
      </c>
      <c r="K241">
        <v>0</v>
      </c>
      <c r="L241">
        <v>3.3</v>
      </c>
      <c r="M241">
        <v>737070.18</v>
      </c>
      <c r="N241">
        <v>117593.97</v>
      </c>
    </row>
    <row r="242" spans="1:14">
      <c r="A242" t="s">
        <v>82</v>
      </c>
      <c r="B242" s="14">
        <v>45658</v>
      </c>
      <c r="C242" t="s">
        <v>24</v>
      </c>
      <c r="D242" t="s">
        <v>21</v>
      </c>
      <c r="E242">
        <v>69900.12</v>
      </c>
      <c r="F242">
        <v>8055</v>
      </c>
      <c r="G242">
        <v>0.28100000000000003</v>
      </c>
      <c r="H242">
        <v>22</v>
      </c>
      <c r="I242">
        <v>85.6</v>
      </c>
      <c r="J242">
        <v>10.68</v>
      </c>
      <c r="K242">
        <v>1</v>
      </c>
      <c r="L242">
        <v>2.9</v>
      </c>
      <c r="M242">
        <v>776992.93</v>
      </c>
      <c r="N242">
        <v>101598.32</v>
      </c>
    </row>
    <row r="243" spans="1:14">
      <c r="A243" t="s">
        <v>82</v>
      </c>
      <c r="B243" s="14">
        <v>45689</v>
      </c>
      <c r="C243" t="s">
        <v>24</v>
      </c>
      <c r="D243" t="s">
        <v>21</v>
      </c>
      <c r="E243">
        <v>51781.599999999999</v>
      </c>
      <c r="F243">
        <v>5648</v>
      </c>
      <c r="G243">
        <v>5.8999999999999997E-2</v>
      </c>
      <c r="H243">
        <v>13</v>
      </c>
      <c r="I243">
        <v>85.5</v>
      </c>
      <c r="J243">
        <v>4.04</v>
      </c>
      <c r="K243">
        <v>0</v>
      </c>
      <c r="L243">
        <v>3.7</v>
      </c>
      <c r="M243">
        <v>676337.41</v>
      </c>
      <c r="N243">
        <v>104355.77</v>
      </c>
    </row>
    <row r="244" spans="1:14">
      <c r="A244" t="s">
        <v>82</v>
      </c>
      <c r="B244" s="14">
        <v>45717</v>
      </c>
      <c r="C244" t="s">
        <v>24</v>
      </c>
      <c r="D244" t="s">
        <v>21</v>
      </c>
      <c r="E244">
        <v>70799.64</v>
      </c>
      <c r="F244">
        <v>10076</v>
      </c>
      <c r="G244">
        <v>0.152</v>
      </c>
      <c r="H244">
        <v>24</v>
      </c>
      <c r="I244">
        <v>84.8</v>
      </c>
      <c r="J244">
        <v>1.87</v>
      </c>
      <c r="K244">
        <v>0</v>
      </c>
      <c r="L244">
        <v>3.5</v>
      </c>
      <c r="M244">
        <v>828219.67</v>
      </c>
      <c r="N244">
        <v>179806.87</v>
      </c>
    </row>
    <row r="245" spans="1:14">
      <c r="A245" t="s">
        <v>82</v>
      </c>
      <c r="B245" s="14">
        <v>45748</v>
      </c>
      <c r="C245" t="s">
        <v>24</v>
      </c>
      <c r="D245" t="s">
        <v>21</v>
      </c>
      <c r="E245">
        <v>53546.34</v>
      </c>
      <c r="F245">
        <v>8004</v>
      </c>
      <c r="G245">
        <v>0</v>
      </c>
      <c r="H245">
        <v>21</v>
      </c>
      <c r="I245">
        <v>95.2</v>
      </c>
      <c r="J245">
        <v>2.83</v>
      </c>
      <c r="K245">
        <v>0</v>
      </c>
      <c r="L245">
        <v>3</v>
      </c>
      <c r="M245">
        <v>763159.92</v>
      </c>
      <c r="N245">
        <v>177104.87</v>
      </c>
    </row>
    <row r="246" spans="1:14">
      <c r="A246" t="s">
        <v>83</v>
      </c>
      <c r="B246" s="14">
        <v>45658</v>
      </c>
      <c r="C246" t="s">
        <v>15</v>
      </c>
      <c r="D246" t="s">
        <v>18</v>
      </c>
      <c r="E246">
        <v>76942.2</v>
      </c>
      <c r="F246">
        <v>8934</v>
      </c>
      <c r="G246">
        <v>8.4000000000000005E-2</v>
      </c>
      <c r="H246">
        <v>20</v>
      </c>
      <c r="I246">
        <v>91</v>
      </c>
      <c r="J246">
        <v>0.95</v>
      </c>
      <c r="K246">
        <v>0</v>
      </c>
      <c r="L246">
        <v>3.2</v>
      </c>
      <c r="M246">
        <v>802001.68</v>
      </c>
      <c r="N246">
        <v>159715.82</v>
      </c>
    </row>
    <row r="247" spans="1:14">
      <c r="A247" t="s">
        <v>83</v>
      </c>
      <c r="B247" s="14">
        <v>45689</v>
      </c>
      <c r="C247" t="s">
        <v>15</v>
      </c>
      <c r="D247" t="s">
        <v>18</v>
      </c>
      <c r="E247">
        <v>48060.78</v>
      </c>
      <c r="F247">
        <v>8733</v>
      </c>
      <c r="G247">
        <v>0</v>
      </c>
      <c r="H247">
        <v>20</v>
      </c>
      <c r="I247">
        <v>89.9</v>
      </c>
      <c r="J247">
        <v>0.8</v>
      </c>
      <c r="K247">
        <v>0</v>
      </c>
      <c r="L247">
        <v>3.4</v>
      </c>
      <c r="M247">
        <v>750471.34</v>
      </c>
      <c r="N247">
        <v>133788.04</v>
      </c>
    </row>
    <row r="248" spans="1:14">
      <c r="A248" t="s">
        <v>83</v>
      </c>
      <c r="B248" s="14">
        <v>45717</v>
      </c>
      <c r="C248" t="s">
        <v>15</v>
      </c>
      <c r="D248" t="s">
        <v>18</v>
      </c>
      <c r="E248">
        <v>57390.04</v>
      </c>
      <c r="F248">
        <v>7374</v>
      </c>
      <c r="G248">
        <v>0.21</v>
      </c>
      <c r="H248">
        <v>21</v>
      </c>
      <c r="I248">
        <v>91.8</v>
      </c>
      <c r="J248">
        <v>0.2</v>
      </c>
      <c r="K248">
        <v>0</v>
      </c>
      <c r="L248">
        <v>3.1</v>
      </c>
      <c r="M248">
        <v>679230.86</v>
      </c>
      <c r="N248">
        <v>106927.58</v>
      </c>
    </row>
    <row r="249" spans="1:14">
      <c r="A249" t="s">
        <v>83</v>
      </c>
      <c r="B249" s="14">
        <v>45748</v>
      </c>
      <c r="C249" t="s">
        <v>15</v>
      </c>
      <c r="D249" t="s">
        <v>18</v>
      </c>
      <c r="E249">
        <v>21536.18</v>
      </c>
      <c r="F249">
        <v>8119</v>
      </c>
      <c r="G249">
        <v>0.22700000000000001</v>
      </c>
      <c r="H249">
        <v>20</v>
      </c>
      <c r="I249">
        <v>90.4</v>
      </c>
      <c r="J249">
        <v>1.7</v>
      </c>
      <c r="K249">
        <v>0</v>
      </c>
      <c r="L249">
        <v>3.3</v>
      </c>
      <c r="M249">
        <v>679888.74</v>
      </c>
      <c r="N249">
        <v>83406.89</v>
      </c>
    </row>
    <row r="250" spans="1:14">
      <c r="A250" t="s">
        <v>84</v>
      </c>
      <c r="B250" s="14">
        <v>45658</v>
      </c>
      <c r="C250" t="s">
        <v>20</v>
      </c>
      <c r="D250" t="s">
        <v>18</v>
      </c>
      <c r="E250">
        <v>40923.67</v>
      </c>
      <c r="F250">
        <v>3875</v>
      </c>
      <c r="G250">
        <v>0.15</v>
      </c>
      <c r="H250">
        <v>10</v>
      </c>
      <c r="I250">
        <v>96.1</v>
      </c>
      <c r="J250">
        <v>3.3650000000000002</v>
      </c>
      <c r="K250">
        <v>0</v>
      </c>
      <c r="L250">
        <v>3.8</v>
      </c>
      <c r="M250">
        <v>606783.67000000004</v>
      </c>
      <c r="N250">
        <v>74515.87</v>
      </c>
    </row>
    <row r="251" spans="1:14">
      <c r="A251" t="s">
        <v>84</v>
      </c>
      <c r="B251" s="14">
        <v>45689</v>
      </c>
      <c r="C251" t="s">
        <v>20</v>
      </c>
      <c r="D251" t="s">
        <v>18</v>
      </c>
      <c r="E251">
        <v>72932.55</v>
      </c>
      <c r="F251">
        <v>5765</v>
      </c>
      <c r="G251">
        <v>2.5999999999999999E-2</v>
      </c>
      <c r="H251">
        <v>17</v>
      </c>
      <c r="I251">
        <v>81.8</v>
      </c>
      <c r="J251">
        <v>5.0999999999999996</v>
      </c>
      <c r="K251">
        <v>0</v>
      </c>
      <c r="L251">
        <v>3.6</v>
      </c>
      <c r="M251">
        <v>642751.42000000004</v>
      </c>
      <c r="N251">
        <v>131942.15</v>
      </c>
    </row>
    <row r="252" spans="1:14">
      <c r="A252" t="s">
        <v>84</v>
      </c>
      <c r="B252" s="14">
        <v>45717</v>
      </c>
      <c r="C252" t="s">
        <v>20</v>
      </c>
      <c r="D252" t="s">
        <v>18</v>
      </c>
      <c r="E252">
        <v>38361.93</v>
      </c>
      <c r="F252">
        <v>6322</v>
      </c>
      <c r="G252">
        <v>0.27300000000000002</v>
      </c>
      <c r="H252">
        <v>15</v>
      </c>
      <c r="I252">
        <v>88.4</v>
      </c>
      <c r="J252">
        <v>0.83</v>
      </c>
      <c r="K252">
        <v>0</v>
      </c>
      <c r="L252">
        <v>4</v>
      </c>
      <c r="M252">
        <v>647953.78</v>
      </c>
      <c r="N252">
        <v>118497.43</v>
      </c>
    </row>
    <row r="253" spans="1:14">
      <c r="A253" t="s">
        <v>84</v>
      </c>
      <c r="B253" s="14">
        <v>45748</v>
      </c>
      <c r="C253" t="s">
        <v>20</v>
      </c>
      <c r="D253" t="s">
        <v>18</v>
      </c>
      <c r="E253">
        <v>97480.94</v>
      </c>
      <c r="F253">
        <v>6840</v>
      </c>
      <c r="G253">
        <v>8.6999999999999994E-2</v>
      </c>
      <c r="H253">
        <v>14</v>
      </c>
      <c r="I253">
        <v>79.2</v>
      </c>
      <c r="J253">
        <v>1.1399999999999999</v>
      </c>
      <c r="K253">
        <v>0</v>
      </c>
      <c r="L253">
        <v>4</v>
      </c>
      <c r="M253">
        <v>729440.45</v>
      </c>
      <c r="N253">
        <v>87614.29</v>
      </c>
    </row>
    <row r="254" spans="1:14">
      <c r="A254" t="s">
        <v>85</v>
      </c>
      <c r="B254" s="14">
        <v>45658</v>
      </c>
      <c r="C254" t="s">
        <v>24</v>
      </c>
      <c r="D254" t="s">
        <v>21</v>
      </c>
      <c r="E254">
        <v>81801.8</v>
      </c>
      <c r="F254">
        <v>6782</v>
      </c>
      <c r="G254">
        <v>0.05</v>
      </c>
      <c r="H254">
        <v>16</v>
      </c>
      <c r="I254">
        <v>99</v>
      </c>
      <c r="J254">
        <v>9.5399999999999991</v>
      </c>
      <c r="K254">
        <v>0</v>
      </c>
      <c r="L254">
        <v>3.7</v>
      </c>
      <c r="M254">
        <v>764949</v>
      </c>
      <c r="N254">
        <v>148322.43</v>
      </c>
    </row>
    <row r="255" spans="1:14">
      <c r="A255" t="s">
        <v>85</v>
      </c>
      <c r="B255" s="14">
        <v>45689</v>
      </c>
      <c r="C255" t="s">
        <v>24</v>
      </c>
      <c r="D255" t="s">
        <v>21</v>
      </c>
      <c r="E255">
        <v>63582.11</v>
      </c>
      <c r="F255">
        <v>6856</v>
      </c>
      <c r="G255">
        <v>7.3999999999999996E-2</v>
      </c>
      <c r="H255">
        <v>17</v>
      </c>
      <c r="I255">
        <v>89.5</v>
      </c>
      <c r="J255">
        <v>5.48</v>
      </c>
      <c r="K255">
        <v>0</v>
      </c>
      <c r="L255">
        <v>3.2</v>
      </c>
      <c r="M255">
        <v>799046.94</v>
      </c>
      <c r="N255">
        <v>144553.64000000001</v>
      </c>
    </row>
    <row r="256" spans="1:14">
      <c r="A256" t="s">
        <v>85</v>
      </c>
      <c r="B256" s="14">
        <v>45717</v>
      </c>
      <c r="C256" t="s">
        <v>24</v>
      </c>
      <c r="D256" t="s">
        <v>21</v>
      </c>
      <c r="E256">
        <v>75412.740000000005</v>
      </c>
      <c r="F256">
        <v>5641</v>
      </c>
      <c r="G256">
        <v>5.8999999999999997E-2</v>
      </c>
      <c r="H256">
        <v>13</v>
      </c>
      <c r="I256">
        <v>87.9</v>
      </c>
      <c r="J256">
        <v>0.84</v>
      </c>
      <c r="K256">
        <v>0</v>
      </c>
      <c r="L256">
        <v>3.6</v>
      </c>
      <c r="M256">
        <v>720079.54</v>
      </c>
      <c r="N256">
        <v>119499.47</v>
      </c>
    </row>
    <row r="257" spans="1:14">
      <c r="A257" t="s">
        <v>85</v>
      </c>
      <c r="B257" s="14">
        <v>45748</v>
      </c>
      <c r="C257" t="s">
        <v>24</v>
      </c>
      <c r="D257" t="s">
        <v>21</v>
      </c>
      <c r="E257">
        <v>36290.080000000002</v>
      </c>
      <c r="F257">
        <v>5787</v>
      </c>
      <c r="G257">
        <v>0</v>
      </c>
      <c r="H257">
        <v>17</v>
      </c>
      <c r="I257">
        <v>88.3</v>
      </c>
      <c r="J257">
        <v>4.1900000000000004</v>
      </c>
      <c r="K257">
        <v>0</v>
      </c>
      <c r="L257">
        <v>4.0999999999999996</v>
      </c>
      <c r="M257">
        <v>612390.14</v>
      </c>
      <c r="N257">
        <v>108985.74</v>
      </c>
    </row>
    <row r="258" spans="1:14">
      <c r="A258" t="s">
        <v>86</v>
      </c>
      <c r="B258" s="14">
        <v>45658</v>
      </c>
      <c r="C258" t="s">
        <v>24</v>
      </c>
      <c r="D258" t="s">
        <v>28</v>
      </c>
      <c r="E258">
        <v>65272.58</v>
      </c>
      <c r="F258">
        <v>8165</v>
      </c>
      <c r="G258">
        <v>5.0999999999999997E-2</v>
      </c>
      <c r="H258">
        <v>19</v>
      </c>
      <c r="I258">
        <v>87.8</v>
      </c>
      <c r="J258">
        <v>1.26</v>
      </c>
      <c r="K258">
        <v>1</v>
      </c>
      <c r="L258">
        <v>4.3</v>
      </c>
      <c r="M258">
        <v>840108.12</v>
      </c>
      <c r="N258">
        <v>126587.01</v>
      </c>
    </row>
    <row r="259" spans="1:14">
      <c r="A259" t="s">
        <v>86</v>
      </c>
      <c r="B259" s="14">
        <v>45689</v>
      </c>
      <c r="C259" t="s">
        <v>24</v>
      </c>
      <c r="D259" t="s">
        <v>28</v>
      </c>
      <c r="E259">
        <v>28670.43</v>
      </c>
      <c r="F259">
        <v>7574</v>
      </c>
      <c r="G259">
        <v>0.114</v>
      </c>
      <c r="H259">
        <v>19</v>
      </c>
      <c r="I259">
        <v>82.7</v>
      </c>
      <c r="J259">
        <v>2.74</v>
      </c>
      <c r="K259">
        <v>0</v>
      </c>
      <c r="L259">
        <v>4.5999999999999996</v>
      </c>
      <c r="M259">
        <v>697888.09</v>
      </c>
      <c r="N259">
        <v>116249.87</v>
      </c>
    </row>
    <row r="260" spans="1:14">
      <c r="A260" t="s">
        <v>86</v>
      </c>
      <c r="B260" s="14">
        <v>45717</v>
      </c>
      <c r="C260" t="s">
        <v>24</v>
      </c>
      <c r="D260" t="s">
        <v>28</v>
      </c>
      <c r="E260">
        <v>44189.34</v>
      </c>
      <c r="F260">
        <v>8634</v>
      </c>
      <c r="G260">
        <v>0.14299999999999999</v>
      </c>
      <c r="H260">
        <v>19</v>
      </c>
      <c r="I260">
        <v>87.5</v>
      </c>
      <c r="J260">
        <v>3.69</v>
      </c>
      <c r="K260">
        <v>0</v>
      </c>
      <c r="L260">
        <v>4.4000000000000004</v>
      </c>
      <c r="M260">
        <v>746115.59</v>
      </c>
      <c r="N260">
        <v>94662.96</v>
      </c>
    </row>
    <row r="261" spans="1:14">
      <c r="A261" t="s">
        <v>86</v>
      </c>
      <c r="B261" s="14">
        <v>45748</v>
      </c>
      <c r="C261" t="s">
        <v>24</v>
      </c>
      <c r="D261" t="s">
        <v>28</v>
      </c>
      <c r="E261">
        <v>38397.82</v>
      </c>
      <c r="F261">
        <v>7836</v>
      </c>
      <c r="G261">
        <v>7.0000000000000001E-3</v>
      </c>
      <c r="H261">
        <v>21</v>
      </c>
      <c r="I261">
        <v>92.2</v>
      </c>
      <c r="J261">
        <v>1.82</v>
      </c>
      <c r="K261">
        <v>0</v>
      </c>
      <c r="L261">
        <v>3.6</v>
      </c>
      <c r="M261">
        <v>776110.32</v>
      </c>
      <c r="N261">
        <v>139676.21</v>
      </c>
    </row>
    <row r="262" spans="1:14">
      <c r="A262" t="s">
        <v>87</v>
      </c>
      <c r="B262" s="14">
        <v>45658</v>
      </c>
      <c r="C262" t="s">
        <v>27</v>
      </c>
      <c r="D262" t="s">
        <v>18</v>
      </c>
      <c r="E262">
        <v>14519.37</v>
      </c>
      <c r="F262">
        <v>3047</v>
      </c>
      <c r="G262">
        <v>0.13500000000000001</v>
      </c>
      <c r="H262">
        <v>10</v>
      </c>
      <c r="I262">
        <v>90.3</v>
      </c>
      <c r="J262">
        <v>6.62</v>
      </c>
      <c r="K262">
        <v>0</v>
      </c>
      <c r="L262">
        <v>4.2</v>
      </c>
      <c r="M262">
        <v>528852.62</v>
      </c>
      <c r="N262">
        <v>68426.210000000006</v>
      </c>
    </row>
    <row r="263" spans="1:14">
      <c r="A263" t="s">
        <v>87</v>
      </c>
      <c r="B263" s="14">
        <v>45689</v>
      </c>
      <c r="C263" t="s">
        <v>27</v>
      </c>
      <c r="D263" t="s">
        <v>18</v>
      </c>
      <c r="E263">
        <v>43288.2</v>
      </c>
      <c r="F263">
        <v>4783</v>
      </c>
      <c r="G263">
        <v>0.16900000000000001</v>
      </c>
      <c r="H263">
        <v>13</v>
      </c>
      <c r="I263">
        <v>87.3</v>
      </c>
      <c r="J263">
        <v>3.3650000000000002</v>
      </c>
      <c r="K263">
        <v>0</v>
      </c>
      <c r="L263">
        <v>4.2</v>
      </c>
      <c r="M263">
        <v>605751.32999999996</v>
      </c>
      <c r="N263">
        <v>60685.53</v>
      </c>
    </row>
    <row r="264" spans="1:14">
      <c r="A264" t="s">
        <v>87</v>
      </c>
      <c r="B264" s="14">
        <v>45717</v>
      </c>
      <c r="C264" t="s">
        <v>27</v>
      </c>
      <c r="D264" t="s">
        <v>18</v>
      </c>
      <c r="E264">
        <v>51450.55</v>
      </c>
      <c r="F264">
        <v>4902</v>
      </c>
      <c r="G264">
        <v>8.5999999999999993E-2</v>
      </c>
      <c r="H264">
        <v>11</v>
      </c>
      <c r="I264">
        <v>83.7</v>
      </c>
      <c r="J264">
        <v>6.92</v>
      </c>
      <c r="K264">
        <v>1</v>
      </c>
      <c r="L264">
        <v>4.2</v>
      </c>
      <c r="M264">
        <v>677640.65</v>
      </c>
      <c r="N264">
        <v>111610.89</v>
      </c>
    </row>
    <row r="265" spans="1:14">
      <c r="A265" t="s">
        <v>87</v>
      </c>
      <c r="B265" s="14">
        <v>45748</v>
      </c>
      <c r="C265" t="s">
        <v>27</v>
      </c>
      <c r="D265" t="s">
        <v>18</v>
      </c>
      <c r="E265">
        <v>58688.26</v>
      </c>
      <c r="F265">
        <v>4022</v>
      </c>
      <c r="G265">
        <v>0.217</v>
      </c>
      <c r="H265">
        <v>12</v>
      </c>
      <c r="I265">
        <v>93.8</v>
      </c>
      <c r="J265">
        <v>11.78</v>
      </c>
      <c r="K265">
        <v>0</v>
      </c>
      <c r="L265">
        <v>3.7</v>
      </c>
      <c r="M265">
        <v>636613.23</v>
      </c>
      <c r="N265">
        <v>78908.350000000006</v>
      </c>
    </row>
    <row r="266" spans="1:14">
      <c r="A266" t="s">
        <v>88</v>
      </c>
      <c r="B266" s="14">
        <v>45658</v>
      </c>
      <c r="C266" t="s">
        <v>15</v>
      </c>
      <c r="D266" t="s">
        <v>18</v>
      </c>
      <c r="E266">
        <v>58981.91</v>
      </c>
      <c r="F266">
        <v>7324</v>
      </c>
      <c r="G266">
        <v>9.4E-2</v>
      </c>
      <c r="H266">
        <v>15</v>
      </c>
      <c r="I266">
        <v>95.8</v>
      </c>
      <c r="J266">
        <v>0.5</v>
      </c>
      <c r="K266">
        <v>0</v>
      </c>
      <c r="L266">
        <v>3.5</v>
      </c>
      <c r="M266">
        <v>708985.19</v>
      </c>
      <c r="N266">
        <v>125368.16</v>
      </c>
    </row>
    <row r="267" spans="1:14">
      <c r="A267" t="s">
        <v>88</v>
      </c>
      <c r="B267" s="14">
        <v>45689</v>
      </c>
      <c r="C267" t="s">
        <v>15</v>
      </c>
      <c r="D267" t="s">
        <v>18</v>
      </c>
      <c r="E267">
        <v>73454.539999999994</v>
      </c>
      <c r="F267">
        <v>8129</v>
      </c>
      <c r="G267">
        <v>0.21099999999999999</v>
      </c>
      <c r="H267">
        <v>20</v>
      </c>
      <c r="I267">
        <v>85.2</v>
      </c>
      <c r="J267">
        <v>0.88</v>
      </c>
      <c r="K267">
        <v>0</v>
      </c>
      <c r="L267">
        <v>3.7</v>
      </c>
      <c r="M267">
        <v>767792.94</v>
      </c>
      <c r="N267">
        <v>96235.77</v>
      </c>
    </row>
    <row r="268" spans="1:14">
      <c r="A268" t="s">
        <v>88</v>
      </c>
      <c r="B268" s="14">
        <v>45717</v>
      </c>
      <c r="C268" t="s">
        <v>15</v>
      </c>
      <c r="D268" t="s">
        <v>18</v>
      </c>
      <c r="E268">
        <v>56602.39</v>
      </c>
      <c r="F268">
        <v>7969</v>
      </c>
      <c r="G268">
        <v>0.17</v>
      </c>
      <c r="H268">
        <v>21</v>
      </c>
      <c r="I268">
        <v>88.3</v>
      </c>
      <c r="J268">
        <v>2.25</v>
      </c>
      <c r="K268">
        <v>0</v>
      </c>
      <c r="L268">
        <v>3.7</v>
      </c>
      <c r="M268">
        <v>745580.51</v>
      </c>
      <c r="N268">
        <v>116273.68</v>
      </c>
    </row>
    <row r="269" spans="1:14">
      <c r="A269" t="s">
        <v>88</v>
      </c>
      <c r="B269" s="14">
        <v>45748</v>
      </c>
      <c r="C269" t="s">
        <v>15</v>
      </c>
      <c r="D269" t="s">
        <v>18</v>
      </c>
      <c r="E269">
        <v>67722.289999999994</v>
      </c>
      <c r="F269">
        <v>7240</v>
      </c>
      <c r="G269">
        <v>2.5999999999999999E-2</v>
      </c>
      <c r="H269">
        <v>15</v>
      </c>
      <c r="I269">
        <v>92.9</v>
      </c>
      <c r="J269">
        <v>0.28999999999999998</v>
      </c>
      <c r="K269">
        <v>0</v>
      </c>
      <c r="L269">
        <v>3.5</v>
      </c>
      <c r="M269">
        <v>762328.31</v>
      </c>
      <c r="N269">
        <v>159158.19</v>
      </c>
    </row>
    <row r="270" spans="1:14">
      <c r="A270" t="s">
        <v>89</v>
      </c>
      <c r="B270" s="14">
        <v>45658</v>
      </c>
      <c r="C270" t="s">
        <v>15</v>
      </c>
      <c r="D270" t="s">
        <v>28</v>
      </c>
      <c r="E270">
        <v>48752.92</v>
      </c>
      <c r="F270">
        <v>8052</v>
      </c>
      <c r="G270">
        <v>0.106</v>
      </c>
      <c r="H270">
        <v>16</v>
      </c>
      <c r="I270">
        <v>94.9</v>
      </c>
      <c r="J270">
        <v>0.65</v>
      </c>
      <c r="K270">
        <v>0</v>
      </c>
      <c r="L270">
        <v>3.6</v>
      </c>
      <c r="M270">
        <v>660633.99</v>
      </c>
      <c r="N270">
        <v>118768.66</v>
      </c>
    </row>
    <row r="271" spans="1:14">
      <c r="A271" t="s">
        <v>89</v>
      </c>
      <c r="B271" s="14">
        <v>45689</v>
      </c>
      <c r="C271" t="s">
        <v>15</v>
      </c>
      <c r="D271" t="s">
        <v>28</v>
      </c>
      <c r="E271">
        <v>23914.97</v>
      </c>
      <c r="F271">
        <v>8018</v>
      </c>
      <c r="G271">
        <v>0.13900000000000001</v>
      </c>
      <c r="H271">
        <v>20</v>
      </c>
      <c r="I271">
        <v>89</v>
      </c>
      <c r="J271">
        <v>0.2</v>
      </c>
      <c r="K271">
        <v>0</v>
      </c>
      <c r="L271">
        <v>3.5</v>
      </c>
      <c r="M271">
        <v>739374.56</v>
      </c>
      <c r="N271">
        <v>121032.29</v>
      </c>
    </row>
    <row r="272" spans="1:14">
      <c r="A272" t="s">
        <v>89</v>
      </c>
      <c r="B272" s="14">
        <v>45717</v>
      </c>
      <c r="C272" t="s">
        <v>15</v>
      </c>
      <c r="D272" t="s">
        <v>28</v>
      </c>
      <c r="E272">
        <v>61995.3</v>
      </c>
      <c r="F272">
        <v>10192</v>
      </c>
      <c r="G272">
        <v>0.19800000000000001</v>
      </c>
      <c r="H272">
        <v>21</v>
      </c>
      <c r="I272">
        <v>87.6</v>
      </c>
      <c r="J272">
        <v>3.63</v>
      </c>
      <c r="K272">
        <v>1</v>
      </c>
      <c r="L272">
        <v>3.8</v>
      </c>
      <c r="M272">
        <v>799756.46</v>
      </c>
      <c r="N272">
        <v>105052.93</v>
      </c>
    </row>
    <row r="273" spans="1:14">
      <c r="A273" t="s">
        <v>89</v>
      </c>
      <c r="B273" s="14">
        <v>45748</v>
      </c>
      <c r="C273" t="s">
        <v>15</v>
      </c>
      <c r="D273" t="s">
        <v>28</v>
      </c>
      <c r="E273">
        <v>29344.93</v>
      </c>
      <c r="F273">
        <v>7446</v>
      </c>
      <c r="G273">
        <v>0.111</v>
      </c>
      <c r="H273">
        <v>15</v>
      </c>
      <c r="I273">
        <v>86.2</v>
      </c>
      <c r="J273">
        <v>0.2</v>
      </c>
      <c r="K273">
        <v>0</v>
      </c>
      <c r="L273">
        <v>3.2</v>
      </c>
      <c r="M273">
        <v>593343</v>
      </c>
      <c r="N273">
        <v>82832.240000000005</v>
      </c>
    </row>
    <row r="274" spans="1:14">
      <c r="A274" t="s">
        <v>90</v>
      </c>
      <c r="B274" s="14">
        <v>45658</v>
      </c>
      <c r="C274" t="s">
        <v>27</v>
      </c>
      <c r="D274" t="s">
        <v>18</v>
      </c>
      <c r="E274">
        <v>50532.17</v>
      </c>
      <c r="F274">
        <v>5689</v>
      </c>
      <c r="G274">
        <v>5.1999999999999998E-2</v>
      </c>
      <c r="H274">
        <v>17</v>
      </c>
      <c r="I274">
        <v>85.6</v>
      </c>
      <c r="J274">
        <v>6.23</v>
      </c>
      <c r="K274">
        <v>0</v>
      </c>
      <c r="L274">
        <v>3.3</v>
      </c>
      <c r="M274">
        <v>645039.97</v>
      </c>
      <c r="N274">
        <v>83093.33</v>
      </c>
    </row>
    <row r="275" spans="1:14">
      <c r="A275" t="s">
        <v>90</v>
      </c>
      <c r="B275" s="14">
        <v>45689</v>
      </c>
      <c r="C275" t="s">
        <v>27</v>
      </c>
      <c r="D275" t="s">
        <v>18</v>
      </c>
      <c r="E275">
        <v>17562.57</v>
      </c>
      <c r="F275">
        <v>3326</v>
      </c>
      <c r="G275">
        <v>0.153</v>
      </c>
      <c r="H275">
        <v>14</v>
      </c>
      <c r="I275">
        <v>88.1</v>
      </c>
      <c r="J275">
        <v>1.04</v>
      </c>
      <c r="K275">
        <v>0</v>
      </c>
      <c r="L275">
        <v>3.1</v>
      </c>
      <c r="M275">
        <v>561597.32999999996</v>
      </c>
      <c r="N275">
        <v>75072.75</v>
      </c>
    </row>
    <row r="276" spans="1:14">
      <c r="A276" t="s">
        <v>90</v>
      </c>
      <c r="B276" s="14">
        <v>45717</v>
      </c>
      <c r="C276" t="s">
        <v>27</v>
      </c>
      <c r="D276" t="s">
        <v>18</v>
      </c>
      <c r="E276">
        <v>47648.71</v>
      </c>
      <c r="F276">
        <v>5767</v>
      </c>
      <c r="G276">
        <v>0.14099999999999999</v>
      </c>
      <c r="H276">
        <v>17</v>
      </c>
      <c r="I276">
        <v>89.8</v>
      </c>
      <c r="J276">
        <v>1.76</v>
      </c>
      <c r="K276">
        <v>0</v>
      </c>
      <c r="L276">
        <v>3.1</v>
      </c>
      <c r="M276">
        <v>635837.74</v>
      </c>
      <c r="N276">
        <v>114740.64</v>
      </c>
    </row>
    <row r="277" spans="1:14">
      <c r="A277" t="s">
        <v>90</v>
      </c>
      <c r="B277" s="14">
        <v>45748</v>
      </c>
      <c r="C277" t="s">
        <v>27</v>
      </c>
      <c r="D277" t="s">
        <v>18</v>
      </c>
      <c r="E277">
        <v>38297.58</v>
      </c>
      <c r="F277">
        <v>5893</v>
      </c>
      <c r="G277">
        <v>0.247</v>
      </c>
      <c r="H277">
        <v>18</v>
      </c>
      <c r="I277">
        <v>77.599999999999994</v>
      </c>
      <c r="J277">
        <v>2.86</v>
      </c>
      <c r="K277">
        <v>0</v>
      </c>
      <c r="L277">
        <v>3</v>
      </c>
      <c r="M277">
        <v>686737.87</v>
      </c>
      <c r="N277">
        <v>83839.67</v>
      </c>
    </row>
    <row r="278" spans="1:14">
      <c r="A278" t="s">
        <v>91</v>
      </c>
      <c r="B278" s="14">
        <v>45658</v>
      </c>
      <c r="C278" t="s">
        <v>24</v>
      </c>
      <c r="D278" t="s">
        <v>16</v>
      </c>
      <c r="E278">
        <v>61784.11</v>
      </c>
      <c r="F278">
        <v>8564</v>
      </c>
      <c r="G278">
        <v>0.13</v>
      </c>
      <c r="H278">
        <v>17</v>
      </c>
      <c r="I278">
        <v>87.4</v>
      </c>
      <c r="J278">
        <v>18.14</v>
      </c>
      <c r="K278">
        <v>1</v>
      </c>
      <c r="L278">
        <v>3.4</v>
      </c>
      <c r="M278">
        <v>673076.34</v>
      </c>
      <c r="N278">
        <v>93899.76</v>
      </c>
    </row>
    <row r="279" spans="1:14">
      <c r="A279" t="s">
        <v>91</v>
      </c>
      <c r="B279" s="14">
        <v>45689</v>
      </c>
      <c r="C279" t="s">
        <v>24</v>
      </c>
      <c r="D279" t="s">
        <v>16</v>
      </c>
      <c r="E279">
        <v>36832.33</v>
      </c>
      <c r="F279">
        <v>8001</v>
      </c>
      <c r="G279">
        <v>0</v>
      </c>
      <c r="H279">
        <v>19</v>
      </c>
      <c r="I279">
        <v>88.7</v>
      </c>
      <c r="J279">
        <v>3.39</v>
      </c>
      <c r="K279">
        <v>0</v>
      </c>
      <c r="L279">
        <v>4</v>
      </c>
      <c r="M279">
        <v>738548.42</v>
      </c>
      <c r="N279">
        <v>134282.76999999999</v>
      </c>
    </row>
    <row r="280" spans="1:14">
      <c r="A280" t="s">
        <v>91</v>
      </c>
      <c r="B280" s="14">
        <v>45717</v>
      </c>
      <c r="C280" t="s">
        <v>24</v>
      </c>
      <c r="D280" t="s">
        <v>16</v>
      </c>
      <c r="E280">
        <v>48609.41</v>
      </c>
      <c r="F280">
        <v>9324</v>
      </c>
      <c r="G280">
        <v>0.21299999999999999</v>
      </c>
      <c r="H280">
        <v>18</v>
      </c>
      <c r="I280">
        <v>86.5</v>
      </c>
      <c r="J280">
        <v>1.44</v>
      </c>
      <c r="K280">
        <v>0</v>
      </c>
      <c r="L280">
        <v>3.9</v>
      </c>
      <c r="M280">
        <v>756619.77</v>
      </c>
      <c r="N280">
        <v>112057.69</v>
      </c>
    </row>
    <row r="281" spans="1:14">
      <c r="A281" t="s">
        <v>91</v>
      </c>
      <c r="B281" s="14">
        <v>45748</v>
      </c>
      <c r="C281" t="s">
        <v>24</v>
      </c>
      <c r="D281" t="s">
        <v>16</v>
      </c>
      <c r="E281">
        <v>70284.06</v>
      </c>
      <c r="F281">
        <v>9109</v>
      </c>
      <c r="G281">
        <v>4.0000000000000001E-3</v>
      </c>
      <c r="H281">
        <v>23</v>
      </c>
      <c r="I281">
        <v>87</v>
      </c>
      <c r="J281">
        <v>3.65</v>
      </c>
      <c r="K281">
        <v>0</v>
      </c>
      <c r="L281">
        <v>3.7</v>
      </c>
      <c r="M281">
        <v>761122.42</v>
      </c>
      <c r="N281">
        <v>149802.04</v>
      </c>
    </row>
    <row r="282" spans="1:14">
      <c r="A282" t="s">
        <v>92</v>
      </c>
      <c r="B282" s="14">
        <v>45658</v>
      </c>
      <c r="C282" t="s">
        <v>24</v>
      </c>
      <c r="D282" t="s">
        <v>18</v>
      </c>
      <c r="E282">
        <v>45940.39</v>
      </c>
      <c r="F282">
        <v>4022</v>
      </c>
      <c r="G282">
        <v>6.9000000000000006E-2</v>
      </c>
      <c r="H282">
        <v>10</v>
      </c>
      <c r="I282">
        <v>83</v>
      </c>
      <c r="J282">
        <v>1.23</v>
      </c>
      <c r="K282">
        <v>1</v>
      </c>
      <c r="L282">
        <v>3.8</v>
      </c>
      <c r="M282">
        <v>524899.56999999995</v>
      </c>
      <c r="N282">
        <v>63619.98</v>
      </c>
    </row>
    <row r="283" spans="1:14">
      <c r="A283" t="s">
        <v>92</v>
      </c>
      <c r="B283" s="14">
        <v>45689</v>
      </c>
      <c r="C283" t="s">
        <v>24</v>
      </c>
      <c r="D283" t="s">
        <v>18</v>
      </c>
      <c r="E283">
        <v>34771.26</v>
      </c>
      <c r="F283">
        <v>4355</v>
      </c>
      <c r="G283">
        <v>5.0999999999999997E-2</v>
      </c>
      <c r="H283">
        <v>15</v>
      </c>
      <c r="I283">
        <v>87.9</v>
      </c>
      <c r="J283">
        <v>3.09</v>
      </c>
      <c r="K283">
        <v>0</v>
      </c>
      <c r="L283">
        <v>4</v>
      </c>
      <c r="M283">
        <v>555557.77</v>
      </c>
      <c r="N283">
        <v>86475.51</v>
      </c>
    </row>
    <row r="284" spans="1:14">
      <c r="A284" t="s">
        <v>92</v>
      </c>
      <c r="B284" s="14">
        <v>45717</v>
      </c>
      <c r="C284" t="s">
        <v>24</v>
      </c>
      <c r="D284" t="s">
        <v>18</v>
      </c>
      <c r="E284">
        <v>66104.19</v>
      </c>
      <c r="F284">
        <v>5745</v>
      </c>
      <c r="G284">
        <v>7.0000000000000007E-2</v>
      </c>
      <c r="H284">
        <v>17</v>
      </c>
      <c r="I284">
        <v>95.8</v>
      </c>
      <c r="J284">
        <v>3.15</v>
      </c>
      <c r="K284">
        <v>0</v>
      </c>
      <c r="L284">
        <v>4</v>
      </c>
      <c r="M284">
        <v>714083.68</v>
      </c>
      <c r="N284">
        <v>127231.74</v>
      </c>
    </row>
    <row r="285" spans="1:14">
      <c r="A285" t="s">
        <v>92</v>
      </c>
      <c r="B285" s="14">
        <v>45748</v>
      </c>
      <c r="C285" t="s">
        <v>24</v>
      </c>
      <c r="D285" t="s">
        <v>18</v>
      </c>
      <c r="E285">
        <v>18599.21</v>
      </c>
      <c r="F285">
        <v>3027</v>
      </c>
      <c r="G285">
        <v>0.122</v>
      </c>
      <c r="H285">
        <v>11</v>
      </c>
      <c r="I285">
        <v>80.900000000000006</v>
      </c>
      <c r="J285">
        <v>6.44</v>
      </c>
      <c r="K285">
        <v>0</v>
      </c>
      <c r="L285">
        <v>4.2</v>
      </c>
      <c r="M285">
        <v>497439.82</v>
      </c>
      <c r="N285">
        <v>93372.75</v>
      </c>
    </row>
    <row r="286" spans="1:14">
      <c r="A286" t="s">
        <v>93</v>
      </c>
      <c r="B286" s="14">
        <v>45658</v>
      </c>
      <c r="C286" t="s">
        <v>27</v>
      </c>
      <c r="D286" t="s">
        <v>16</v>
      </c>
      <c r="E286">
        <v>60183.06</v>
      </c>
      <c r="F286">
        <v>5562</v>
      </c>
      <c r="G286">
        <v>8.9999999999999993E-3</v>
      </c>
      <c r="H286">
        <v>13</v>
      </c>
      <c r="I286">
        <v>86.3</v>
      </c>
      <c r="J286">
        <v>0.2</v>
      </c>
      <c r="K286">
        <v>1</v>
      </c>
      <c r="L286">
        <v>4.5</v>
      </c>
      <c r="M286">
        <v>636775.66</v>
      </c>
      <c r="N286">
        <v>122636.86</v>
      </c>
    </row>
    <row r="287" spans="1:14">
      <c r="A287" t="s">
        <v>93</v>
      </c>
      <c r="B287" s="14">
        <v>45689</v>
      </c>
      <c r="C287" t="s">
        <v>27</v>
      </c>
      <c r="D287" t="s">
        <v>16</v>
      </c>
      <c r="E287">
        <v>74539.14</v>
      </c>
      <c r="F287">
        <v>4487</v>
      </c>
      <c r="G287">
        <v>0.14000000000000001</v>
      </c>
      <c r="H287">
        <v>10</v>
      </c>
      <c r="I287">
        <v>90.4</v>
      </c>
      <c r="J287">
        <v>0.59</v>
      </c>
      <c r="K287">
        <v>0</v>
      </c>
      <c r="L287">
        <v>4.5</v>
      </c>
      <c r="M287">
        <v>633009.53</v>
      </c>
      <c r="N287">
        <v>123782.67</v>
      </c>
    </row>
    <row r="288" spans="1:14">
      <c r="A288" t="s">
        <v>93</v>
      </c>
      <c r="B288" s="14">
        <v>45717</v>
      </c>
      <c r="C288" t="s">
        <v>27</v>
      </c>
      <c r="D288" t="s">
        <v>16</v>
      </c>
      <c r="E288">
        <v>55371.97</v>
      </c>
      <c r="F288">
        <v>4162</v>
      </c>
      <c r="G288">
        <v>0.183</v>
      </c>
      <c r="H288">
        <v>11</v>
      </c>
      <c r="I288">
        <v>92</v>
      </c>
      <c r="J288">
        <v>0.2</v>
      </c>
      <c r="K288">
        <v>1</v>
      </c>
      <c r="L288">
        <v>4.2</v>
      </c>
      <c r="M288">
        <v>609949</v>
      </c>
      <c r="N288">
        <v>126789.25</v>
      </c>
    </row>
    <row r="289" spans="1:14">
      <c r="A289" t="s">
        <v>93</v>
      </c>
      <c r="B289" s="14">
        <v>45748</v>
      </c>
      <c r="C289" t="s">
        <v>27</v>
      </c>
      <c r="D289" t="s">
        <v>16</v>
      </c>
      <c r="E289">
        <v>40928.69</v>
      </c>
      <c r="F289">
        <v>4094</v>
      </c>
      <c r="G289">
        <v>0.17399999999999999</v>
      </c>
      <c r="H289">
        <v>13</v>
      </c>
      <c r="I289">
        <v>82.4</v>
      </c>
      <c r="J289">
        <v>1.36</v>
      </c>
      <c r="K289">
        <v>0</v>
      </c>
      <c r="L289">
        <v>4.8</v>
      </c>
      <c r="M289">
        <v>548103.69999999995</v>
      </c>
      <c r="N289">
        <v>99905.52</v>
      </c>
    </row>
    <row r="290" spans="1:14">
      <c r="A290" t="s">
        <v>94</v>
      </c>
      <c r="B290" s="14">
        <v>45658</v>
      </c>
      <c r="C290" t="s">
        <v>15</v>
      </c>
      <c r="D290" t="s">
        <v>16</v>
      </c>
      <c r="E290">
        <v>70012.41</v>
      </c>
      <c r="F290">
        <v>8484</v>
      </c>
      <c r="G290">
        <v>0.27300000000000002</v>
      </c>
      <c r="H290">
        <v>23</v>
      </c>
      <c r="I290">
        <v>72.900000000000006</v>
      </c>
      <c r="J290">
        <v>3.34</v>
      </c>
      <c r="K290">
        <v>0</v>
      </c>
      <c r="L290">
        <v>3.7</v>
      </c>
      <c r="M290">
        <v>729424.42</v>
      </c>
      <c r="N290">
        <v>75592.28</v>
      </c>
    </row>
    <row r="291" spans="1:14">
      <c r="A291" t="s">
        <v>94</v>
      </c>
      <c r="B291" s="14">
        <v>45689</v>
      </c>
      <c r="C291" t="s">
        <v>15</v>
      </c>
      <c r="D291" t="s">
        <v>16</v>
      </c>
      <c r="E291">
        <v>68909.259999999995</v>
      </c>
      <c r="F291">
        <v>7794</v>
      </c>
      <c r="G291">
        <v>0.28399999999999997</v>
      </c>
      <c r="H291">
        <v>22</v>
      </c>
      <c r="I291">
        <v>89</v>
      </c>
      <c r="J291">
        <v>0.33</v>
      </c>
      <c r="K291">
        <v>0</v>
      </c>
      <c r="L291">
        <v>4</v>
      </c>
      <c r="M291">
        <v>696261.49</v>
      </c>
      <c r="N291">
        <v>72455.350000000006</v>
      </c>
    </row>
    <row r="292" spans="1:14">
      <c r="A292" t="s">
        <v>94</v>
      </c>
      <c r="B292" s="14">
        <v>45717</v>
      </c>
      <c r="C292" t="s">
        <v>15</v>
      </c>
      <c r="D292" t="s">
        <v>16</v>
      </c>
      <c r="E292">
        <v>56737.3</v>
      </c>
      <c r="F292">
        <v>8300</v>
      </c>
      <c r="G292">
        <v>3.2000000000000001E-2</v>
      </c>
      <c r="H292">
        <v>21</v>
      </c>
      <c r="I292">
        <v>83.2</v>
      </c>
      <c r="J292">
        <v>3.44</v>
      </c>
      <c r="K292">
        <v>1</v>
      </c>
      <c r="L292">
        <v>4.3</v>
      </c>
      <c r="M292">
        <v>813316.71</v>
      </c>
      <c r="N292">
        <v>110077.42</v>
      </c>
    </row>
    <row r="293" spans="1:14">
      <c r="A293" t="s">
        <v>94</v>
      </c>
      <c r="B293" s="14">
        <v>45748</v>
      </c>
      <c r="C293" t="s">
        <v>15</v>
      </c>
      <c r="D293" t="s">
        <v>16</v>
      </c>
      <c r="E293">
        <v>54080.91</v>
      </c>
      <c r="F293">
        <v>7083</v>
      </c>
      <c r="G293">
        <v>0</v>
      </c>
      <c r="H293">
        <v>15</v>
      </c>
      <c r="I293">
        <v>97</v>
      </c>
      <c r="J293">
        <v>5.33</v>
      </c>
      <c r="K293">
        <v>0</v>
      </c>
      <c r="L293">
        <v>4.0999999999999996</v>
      </c>
      <c r="M293">
        <v>702068.92</v>
      </c>
      <c r="N293">
        <v>111266.63</v>
      </c>
    </row>
    <row r="294" spans="1:14">
      <c r="A294" t="s">
        <v>95</v>
      </c>
      <c r="B294" s="14">
        <v>45658</v>
      </c>
      <c r="C294" t="s">
        <v>27</v>
      </c>
      <c r="D294" t="s">
        <v>18</v>
      </c>
      <c r="E294">
        <v>51996.32</v>
      </c>
      <c r="F294">
        <v>3834</v>
      </c>
      <c r="G294">
        <v>9.6000000000000002E-2</v>
      </c>
      <c r="H294">
        <v>8</v>
      </c>
      <c r="I294">
        <v>86.7</v>
      </c>
      <c r="J294">
        <v>6.04</v>
      </c>
      <c r="K294">
        <v>0</v>
      </c>
      <c r="L294">
        <v>4.5</v>
      </c>
      <c r="M294">
        <v>546223.69999999995</v>
      </c>
      <c r="N294">
        <v>100769.17</v>
      </c>
    </row>
    <row r="295" spans="1:14">
      <c r="A295" t="s">
        <v>95</v>
      </c>
      <c r="B295" s="14">
        <v>45689</v>
      </c>
      <c r="C295" t="s">
        <v>27</v>
      </c>
      <c r="D295" t="s">
        <v>18</v>
      </c>
      <c r="E295">
        <v>40102.879999999997</v>
      </c>
      <c r="F295">
        <v>2358</v>
      </c>
      <c r="G295">
        <v>0.11899999999999999</v>
      </c>
      <c r="H295">
        <v>9</v>
      </c>
      <c r="I295">
        <v>88.7</v>
      </c>
      <c r="J295">
        <v>1.6</v>
      </c>
      <c r="K295">
        <v>0</v>
      </c>
      <c r="L295">
        <v>4.2</v>
      </c>
      <c r="M295">
        <v>533121.26</v>
      </c>
      <c r="N295">
        <v>55063.39</v>
      </c>
    </row>
    <row r="296" spans="1:14">
      <c r="A296" t="s">
        <v>95</v>
      </c>
      <c r="B296" s="14">
        <v>45717</v>
      </c>
      <c r="C296" t="s">
        <v>27</v>
      </c>
      <c r="D296" t="s">
        <v>18</v>
      </c>
      <c r="E296">
        <v>59825.51</v>
      </c>
      <c r="F296">
        <v>1231</v>
      </c>
      <c r="G296">
        <v>0.214</v>
      </c>
      <c r="H296">
        <v>10</v>
      </c>
      <c r="I296">
        <v>84.8</v>
      </c>
      <c r="J296">
        <v>8.9600000000000009</v>
      </c>
      <c r="K296">
        <v>0</v>
      </c>
      <c r="L296">
        <v>4.7</v>
      </c>
      <c r="M296">
        <v>498970.32</v>
      </c>
      <c r="N296">
        <v>69656.7</v>
      </c>
    </row>
    <row r="297" spans="1:14">
      <c r="A297" t="s">
        <v>95</v>
      </c>
      <c r="B297" s="14">
        <v>45748</v>
      </c>
      <c r="C297" t="s">
        <v>27</v>
      </c>
      <c r="D297" t="s">
        <v>18</v>
      </c>
      <c r="E297">
        <v>27398.28</v>
      </c>
      <c r="F297">
        <v>1723</v>
      </c>
      <c r="G297">
        <v>0.17100000000000001</v>
      </c>
      <c r="H297">
        <v>9</v>
      </c>
      <c r="I297">
        <v>81</v>
      </c>
      <c r="J297">
        <v>0.74</v>
      </c>
      <c r="K297">
        <v>0</v>
      </c>
      <c r="L297">
        <v>4.5999999999999996</v>
      </c>
      <c r="M297">
        <v>487738.26</v>
      </c>
      <c r="N297">
        <v>96435.6</v>
      </c>
    </row>
    <row r="298" spans="1:14">
      <c r="A298" t="s">
        <v>96</v>
      </c>
      <c r="B298" s="14">
        <v>45658</v>
      </c>
      <c r="C298" t="s">
        <v>27</v>
      </c>
      <c r="D298" t="s">
        <v>18</v>
      </c>
      <c r="E298">
        <v>55599.56</v>
      </c>
      <c r="F298">
        <v>5896</v>
      </c>
      <c r="G298">
        <v>3.5999999999999997E-2</v>
      </c>
      <c r="H298">
        <v>12</v>
      </c>
      <c r="I298">
        <v>93.1</v>
      </c>
      <c r="J298">
        <v>6.13</v>
      </c>
      <c r="K298">
        <v>0</v>
      </c>
      <c r="L298">
        <v>3.3</v>
      </c>
      <c r="M298">
        <v>668459.37</v>
      </c>
      <c r="N298">
        <v>126435.42</v>
      </c>
    </row>
    <row r="299" spans="1:14">
      <c r="A299" t="s">
        <v>96</v>
      </c>
      <c r="B299" s="14">
        <v>45689</v>
      </c>
      <c r="C299" t="s">
        <v>27</v>
      </c>
      <c r="D299" t="s">
        <v>18</v>
      </c>
      <c r="E299">
        <v>55477.61</v>
      </c>
      <c r="F299">
        <v>5903</v>
      </c>
      <c r="G299">
        <v>0.10199999999999999</v>
      </c>
      <c r="H299">
        <v>14</v>
      </c>
      <c r="I299">
        <v>96.2</v>
      </c>
      <c r="J299">
        <v>1.41</v>
      </c>
      <c r="K299">
        <v>0</v>
      </c>
      <c r="L299">
        <v>3.3</v>
      </c>
      <c r="M299">
        <v>763162.45</v>
      </c>
      <c r="N299">
        <v>162524.04999999999</v>
      </c>
    </row>
    <row r="300" spans="1:14">
      <c r="A300" t="s">
        <v>96</v>
      </c>
      <c r="B300" s="14">
        <v>45717</v>
      </c>
      <c r="C300" t="s">
        <v>27</v>
      </c>
      <c r="D300" t="s">
        <v>18</v>
      </c>
      <c r="E300">
        <v>46174.7</v>
      </c>
      <c r="F300">
        <v>4898</v>
      </c>
      <c r="G300">
        <v>0.114</v>
      </c>
      <c r="H300">
        <v>11</v>
      </c>
      <c r="I300">
        <v>91.7</v>
      </c>
      <c r="J300">
        <v>3.75</v>
      </c>
      <c r="K300">
        <v>0</v>
      </c>
      <c r="L300">
        <v>3.1</v>
      </c>
      <c r="M300">
        <v>599017.32999999996</v>
      </c>
      <c r="N300">
        <v>134009.92000000001</v>
      </c>
    </row>
    <row r="301" spans="1:14">
      <c r="A301" t="s">
        <v>96</v>
      </c>
      <c r="B301" s="14">
        <v>45748</v>
      </c>
      <c r="C301" t="s">
        <v>27</v>
      </c>
      <c r="D301" t="s">
        <v>18</v>
      </c>
      <c r="E301">
        <v>24362.98</v>
      </c>
      <c r="F301">
        <v>1462</v>
      </c>
      <c r="G301">
        <v>0.11700000000000001</v>
      </c>
      <c r="H301">
        <v>6</v>
      </c>
      <c r="I301">
        <v>89.3</v>
      </c>
      <c r="J301">
        <v>15.06</v>
      </c>
      <c r="K301">
        <v>0</v>
      </c>
      <c r="L301">
        <v>3.2</v>
      </c>
      <c r="M301">
        <v>401582.58</v>
      </c>
      <c r="N301">
        <v>68454.929999999993</v>
      </c>
    </row>
    <row r="302" spans="1:14">
      <c r="A302" t="s">
        <v>97</v>
      </c>
      <c r="B302" s="14">
        <v>45658</v>
      </c>
      <c r="C302" t="s">
        <v>20</v>
      </c>
      <c r="D302" t="s">
        <v>28</v>
      </c>
      <c r="E302">
        <v>40647.67</v>
      </c>
      <c r="F302">
        <v>8252</v>
      </c>
      <c r="G302">
        <v>0.14099999999999999</v>
      </c>
      <c r="H302">
        <v>22</v>
      </c>
      <c r="I302">
        <v>88.2</v>
      </c>
      <c r="J302">
        <v>5.07</v>
      </c>
      <c r="K302">
        <v>1</v>
      </c>
      <c r="L302">
        <v>4.0999999999999996</v>
      </c>
      <c r="M302">
        <v>703812.99</v>
      </c>
      <c r="N302">
        <v>133577.98000000001</v>
      </c>
    </row>
    <row r="303" spans="1:14">
      <c r="A303" t="s">
        <v>97</v>
      </c>
      <c r="B303" s="14">
        <v>45689</v>
      </c>
      <c r="C303" t="s">
        <v>20</v>
      </c>
      <c r="D303" t="s">
        <v>28</v>
      </c>
      <c r="E303">
        <v>63986.98</v>
      </c>
      <c r="F303">
        <v>7989</v>
      </c>
      <c r="G303">
        <v>7.3999999999999996E-2</v>
      </c>
      <c r="H303">
        <v>20</v>
      </c>
      <c r="I303">
        <v>83.3</v>
      </c>
      <c r="J303">
        <v>3.6</v>
      </c>
      <c r="K303">
        <v>0</v>
      </c>
      <c r="L303">
        <v>3.7</v>
      </c>
      <c r="M303">
        <v>724346.73</v>
      </c>
      <c r="N303">
        <v>155013.91</v>
      </c>
    </row>
    <row r="304" spans="1:14">
      <c r="A304" t="s">
        <v>97</v>
      </c>
      <c r="B304" s="14">
        <v>45717</v>
      </c>
      <c r="C304" t="s">
        <v>20</v>
      </c>
      <c r="D304" t="s">
        <v>28</v>
      </c>
      <c r="E304">
        <v>52843.75</v>
      </c>
      <c r="F304">
        <v>8268</v>
      </c>
      <c r="G304">
        <v>0.13800000000000001</v>
      </c>
      <c r="H304">
        <v>19</v>
      </c>
      <c r="I304">
        <v>87.3</v>
      </c>
      <c r="J304">
        <v>4.3899999999999997</v>
      </c>
      <c r="K304">
        <v>1</v>
      </c>
      <c r="L304">
        <v>4.7</v>
      </c>
      <c r="M304">
        <v>730890.01</v>
      </c>
      <c r="N304">
        <v>105502.56</v>
      </c>
    </row>
    <row r="305" spans="1:14">
      <c r="A305" t="s">
        <v>97</v>
      </c>
      <c r="B305" s="14">
        <v>45748</v>
      </c>
      <c r="C305" t="s">
        <v>20</v>
      </c>
      <c r="D305" t="s">
        <v>28</v>
      </c>
      <c r="E305">
        <v>31997.25</v>
      </c>
      <c r="F305">
        <v>8183</v>
      </c>
      <c r="G305">
        <v>0.19800000000000001</v>
      </c>
      <c r="H305">
        <v>18</v>
      </c>
      <c r="I305">
        <v>93</v>
      </c>
      <c r="J305">
        <v>2.79</v>
      </c>
      <c r="K305">
        <v>0</v>
      </c>
      <c r="L305">
        <v>4.2</v>
      </c>
      <c r="M305">
        <v>780580.95</v>
      </c>
      <c r="N305">
        <v>138144.46</v>
      </c>
    </row>
    <row r="306" spans="1:14">
      <c r="A306" t="s">
        <v>98</v>
      </c>
      <c r="B306" s="14">
        <v>45658</v>
      </c>
      <c r="C306" t="s">
        <v>24</v>
      </c>
      <c r="D306" t="s">
        <v>16</v>
      </c>
      <c r="E306">
        <v>54948.02</v>
      </c>
      <c r="F306">
        <v>6534</v>
      </c>
      <c r="G306">
        <v>0.183</v>
      </c>
      <c r="H306">
        <v>14</v>
      </c>
      <c r="I306">
        <v>94.5</v>
      </c>
      <c r="J306">
        <v>1.56</v>
      </c>
      <c r="K306">
        <v>0</v>
      </c>
      <c r="L306">
        <v>4</v>
      </c>
      <c r="M306">
        <v>727957.48</v>
      </c>
      <c r="N306">
        <v>74805.23</v>
      </c>
    </row>
    <row r="307" spans="1:14">
      <c r="A307" t="s">
        <v>98</v>
      </c>
      <c r="B307" s="14">
        <v>45689</v>
      </c>
      <c r="C307" t="s">
        <v>24</v>
      </c>
      <c r="D307" t="s">
        <v>16</v>
      </c>
      <c r="E307">
        <v>46146.239999999998</v>
      </c>
      <c r="F307">
        <v>5804</v>
      </c>
      <c r="G307">
        <v>4.7E-2</v>
      </c>
      <c r="H307">
        <v>16</v>
      </c>
      <c r="I307">
        <v>86.9</v>
      </c>
      <c r="J307">
        <v>15.82</v>
      </c>
      <c r="K307">
        <v>0</v>
      </c>
      <c r="L307">
        <v>3.8</v>
      </c>
      <c r="M307">
        <v>538376</v>
      </c>
      <c r="N307">
        <v>87605.62</v>
      </c>
    </row>
    <row r="308" spans="1:14">
      <c r="A308" t="s">
        <v>98</v>
      </c>
      <c r="B308" s="14">
        <v>45717</v>
      </c>
      <c r="C308" t="s">
        <v>24</v>
      </c>
      <c r="D308" t="s">
        <v>16</v>
      </c>
      <c r="E308">
        <v>22387.26</v>
      </c>
      <c r="F308">
        <v>6301</v>
      </c>
      <c r="G308">
        <v>0.14599999999999999</v>
      </c>
      <c r="H308">
        <v>14</v>
      </c>
      <c r="I308">
        <v>85.9</v>
      </c>
      <c r="J308">
        <v>1.17</v>
      </c>
      <c r="K308">
        <v>1</v>
      </c>
      <c r="L308">
        <v>3.7</v>
      </c>
      <c r="M308">
        <v>665342.49</v>
      </c>
      <c r="N308">
        <v>93441.81</v>
      </c>
    </row>
    <row r="309" spans="1:14">
      <c r="A309" t="s">
        <v>98</v>
      </c>
      <c r="B309" s="14">
        <v>45748</v>
      </c>
      <c r="C309" t="s">
        <v>24</v>
      </c>
      <c r="D309" t="s">
        <v>16</v>
      </c>
      <c r="E309">
        <v>60684.05</v>
      </c>
      <c r="F309">
        <v>6399</v>
      </c>
      <c r="G309">
        <v>7.4999999999999997E-2</v>
      </c>
      <c r="H309">
        <v>16</v>
      </c>
      <c r="I309">
        <v>99</v>
      </c>
      <c r="J309">
        <v>3.82</v>
      </c>
      <c r="K309">
        <v>0</v>
      </c>
      <c r="L309">
        <v>3.5</v>
      </c>
      <c r="M309">
        <v>651164.18000000005</v>
      </c>
      <c r="N309">
        <v>109466.5</v>
      </c>
    </row>
    <row r="310" spans="1:14">
      <c r="A310" t="s">
        <v>99</v>
      </c>
      <c r="B310" s="14">
        <v>45658</v>
      </c>
      <c r="C310" t="s">
        <v>24</v>
      </c>
      <c r="D310" t="s">
        <v>18</v>
      </c>
      <c r="E310">
        <v>48465.599999999999</v>
      </c>
      <c r="F310">
        <v>5759</v>
      </c>
      <c r="G310">
        <v>0.154</v>
      </c>
      <c r="H310">
        <v>13</v>
      </c>
      <c r="I310">
        <v>87.5</v>
      </c>
      <c r="J310">
        <v>4.1399999999999997</v>
      </c>
      <c r="K310">
        <v>0</v>
      </c>
      <c r="L310">
        <v>4</v>
      </c>
      <c r="M310">
        <v>628538.30000000005</v>
      </c>
      <c r="N310">
        <v>112509.15</v>
      </c>
    </row>
    <row r="311" spans="1:14">
      <c r="A311" t="s">
        <v>99</v>
      </c>
      <c r="B311" s="14">
        <v>45689</v>
      </c>
      <c r="C311" t="s">
        <v>24</v>
      </c>
      <c r="D311" t="s">
        <v>18</v>
      </c>
      <c r="E311">
        <v>23702.38</v>
      </c>
      <c r="F311">
        <v>5285</v>
      </c>
      <c r="G311">
        <v>0.16700000000000001</v>
      </c>
      <c r="H311">
        <v>14</v>
      </c>
      <c r="I311">
        <v>79.7</v>
      </c>
      <c r="J311">
        <v>1.1000000000000001</v>
      </c>
      <c r="K311">
        <v>0</v>
      </c>
      <c r="L311">
        <v>4.3</v>
      </c>
      <c r="M311">
        <v>536524.84</v>
      </c>
      <c r="N311">
        <v>92752.94</v>
      </c>
    </row>
    <row r="312" spans="1:14">
      <c r="A312" t="s">
        <v>99</v>
      </c>
      <c r="B312" s="14">
        <v>45717</v>
      </c>
      <c r="C312" t="s">
        <v>24</v>
      </c>
      <c r="D312" t="s">
        <v>18</v>
      </c>
      <c r="E312">
        <v>54322.94</v>
      </c>
      <c r="F312">
        <v>5434</v>
      </c>
      <c r="G312">
        <v>0.2</v>
      </c>
      <c r="H312">
        <v>13</v>
      </c>
      <c r="I312">
        <v>85.7</v>
      </c>
      <c r="J312">
        <v>10.6</v>
      </c>
      <c r="K312">
        <v>0</v>
      </c>
      <c r="L312">
        <v>4.2</v>
      </c>
      <c r="M312">
        <v>621677.30000000005</v>
      </c>
      <c r="N312">
        <v>105192.52</v>
      </c>
    </row>
    <row r="313" spans="1:14">
      <c r="A313" t="s">
        <v>99</v>
      </c>
      <c r="B313" s="14">
        <v>45748</v>
      </c>
      <c r="C313" t="s">
        <v>24</v>
      </c>
      <c r="D313" t="s">
        <v>18</v>
      </c>
      <c r="E313">
        <v>86026.58</v>
      </c>
      <c r="F313">
        <v>7479</v>
      </c>
      <c r="G313">
        <v>0.14199999999999999</v>
      </c>
      <c r="H313">
        <v>20</v>
      </c>
      <c r="I313">
        <v>89</v>
      </c>
      <c r="J313">
        <v>0.9</v>
      </c>
      <c r="K313">
        <v>0</v>
      </c>
      <c r="L313">
        <v>3.92</v>
      </c>
      <c r="M313">
        <v>771129.07</v>
      </c>
      <c r="N313">
        <v>116851.13</v>
      </c>
    </row>
    <row r="314" spans="1:14">
      <c r="A314" t="s">
        <v>100</v>
      </c>
      <c r="B314" s="14">
        <v>45658</v>
      </c>
      <c r="C314" t="s">
        <v>20</v>
      </c>
      <c r="D314" t="s">
        <v>16</v>
      </c>
      <c r="E314">
        <v>78967.520000000004</v>
      </c>
      <c r="F314">
        <v>6164</v>
      </c>
      <c r="G314">
        <v>2.1000000000000001E-2</v>
      </c>
      <c r="H314">
        <v>16</v>
      </c>
      <c r="I314">
        <v>85.5</v>
      </c>
      <c r="J314">
        <v>0.2</v>
      </c>
      <c r="K314">
        <v>0</v>
      </c>
      <c r="L314">
        <v>3.4</v>
      </c>
      <c r="M314">
        <v>702052.47</v>
      </c>
      <c r="N314">
        <v>121732.51</v>
      </c>
    </row>
    <row r="315" spans="1:14">
      <c r="A315" t="s">
        <v>100</v>
      </c>
      <c r="B315" s="14">
        <v>45689</v>
      </c>
      <c r="C315" t="s">
        <v>20</v>
      </c>
      <c r="D315" t="s">
        <v>16</v>
      </c>
      <c r="E315">
        <v>46767.99</v>
      </c>
      <c r="F315">
        <v>7973</v>
      </c>
      <c r="G315">
        <v>0.183</v>
      </c>
      <c r="H315">
        <v>18</v>
      </c>
      <c r="I315">
        <v>94.8</v>
      </c>
      <c r="J315">
        <v>4.67</v>
      </c>
      <c r="K315">
        <v>0</v>
      </c>
      <c r="L315">
        <v>3.92</v>
      </c>
      <c r="M315">
        <v>688368.46</v>
      </c>
      <c r="N315">
        <v>93588.42</v>
      </c>
    </row>
    <row r="316" spans="1:14">
      <c r="A316" t="s">
        <v>100</v>
      </c>
      <c r="B316" s="14">
        <v>45717</v>
      </c>
      <c r="C316" t="s">
        <v>20</v>
      </c>
      <c r="D316" t="s">
        <v>16</v>
      </c>
      <c r="E316">
        <v>62507.16</v>
      </c>
      <c r="F316">
        <v>6000</v>
      </c>
      <c r="G316">
        <v>9.0999999999999998E-2</v>
      </c>
      <c r="H316">
        <v>14</v>
      </c>
      <c r="I316">
        <v>98.2</v>
      </c>
      <c r="J316">
        <v>4.38</v>
      </c>
      <c r="K316">
        <v>1</v>
      </c>
      <c r="L316">
        <v>3.9</v>
      </c>
      <c r="M316">
        <v>712375.77</v>
      </c>
      <c r="N316">
        <v>104171.53</v>
      </c>
    </row>
    <row r="317" spans="1:14">
      <c r="A317" t="s">
        <v>100</v>
      </c>
      <c r="B317" s="14">
        <v>45748</v>
      </c>
      <c r="C317" t="s">
        <v>20</v>
      </c>
      <c r="D317" t="s">
        <v>16</v>
      </c>
      <c r="E317">
        <v>66456.28</v>
      </c>
      <c r="F317">
        <v>9967</v>
      </c>
      <c r="G317">
        <v>0.108</v>
      </c>
      <c r="H317">
        <v>20</v>
      </c>
      <c r="I317">
        <v>94.7</v>
      </c>
      <c r="J317">
        <v>4.4800000000000004</v>
      </c>
      <c r="K317">
        <v>0</v>
      </c>
      <c r="L317">
        <v>4.2</v>
      </c>
      <c r="M317">
        <v>844710.67</v>
      </c>
      <c r="N317">
        <v>137140.18</v>
      </c>
    </row>
    <row r="318" spans="1:14">
      <c r="A318" t="s">
        <v>101</v>
      </c>
      <c r="B318" s="14">
        <v>45658</v>
      </c>
      <c r="C318" t="s">
        <v>15</v>
      </c>
      <c r="D318" t="s">
        <v>16</v>
      </c>
      <c r="E318">
        <v>76614.320000000007</v>
      </c>
      <c r="F318">
        <v>5639</v>
      </c>
      <c r="G318">
        <v>0.17399999999999999</v>
      </c>
      <c r="H318">
        <v>15</v>
      </c>
      <c r="I318">
        <v>92.9</v>
      </c>
      <c r="J318">
        <v>1.02</v>
      </c>
      <c r="K318">
        <v>1</v>
      </c>
      <c r="L318">
        <v>4</v>
      </c>
      <c r="M318">
        <v>620264.19999999995</v>
      </c>
      <c r="N318">
        <v>91365.64</v>
      </c>
    </row>
    <row r="319" spans="1:14">
      <c r="A319" t="s">
        <v>101</v>
      </c>
      <c r="B319" s="14">
        <v>45689</v>
      </c>
      <c r="C319" t="s">
        <v>15</v>
      </c>
      <c r="D319" t="s">
        <v>16</v>
      </c>
      <c r="E319">
        <v>24088.06</v>
      </c>
      <c r="F319">
        <v>3466</v>
      </c>
      <c r="G319">
        <v>0</v>
      </c>
      <c r="H319">
        <v>11</v>
      </c>
      <c r="I319">
        <v>88</v>
      </c>
      <c r="J319">
        <v>0.2</v>
      </c>
      <c r="K319">
        <v>0</v>
      </c>
      <c r="L319">
        <v>3.8</v>
      </c>
      <c r="M319">
        <v>536845.42000000004</v>
      </c>
      <c r="N319">
        <v>107473.75</v>
      </c>
    </row>
    <row r="320" spans="1:14">
      <c r="A320" t="s">
        <v>101</v>
      </c>
      <c r="B320" s="14">
        <v>45717</v>
      </c>
      <c r="C320" t="s">
        <v>15</v>
      </c>
      <c r="D320" t="s">
        <v>16</v>
      </c>
      <c r="E320">
        <v>81902.58</v>
      </c>
      <c r="F320">
        <v>7775</v>
      </c>
      <c r="G320">
        <v>0.215</v>
      </c>
      <c r="H320">
        <v>20</v>
      </c>
      <c r="I320">
        <v>85.2</v>
      </c>
      <c r="J320">
        <v>4.8899999999999997</v>
      </c>
      <c r="K320">
        <v>1</v>
      </c>
      <c r="L320">
        <v>4.2</v>
      </c>
      <c r="M320">
        <v>726776.22</v>
      </c>
      <c r="N320">
        <v>90804.49</v>
      </c>
    </row>
    <row r="321" spans="1:14">
      <c r="A321" t="s">
        <v>101</v>
      </c>
      <c r="B321" s="14">
        <v>45748</v>
      </c>
      <c r="C321" t="s">
        <v>15</v>
      </c>
      <c r="D321" t="s">
        <v>16</v>
      </c>
      <c r="E321">
        <v>40553.11</v>
      </c>
      <c r="F321">
        <v>5317</v>
      </c>
      <c r="G321">
        <v>0.16500000000000001</v>
      </c>
      <c r="H321">
        <v>17</v>
      </c>
      <c r="I321">
        <v>84.3</v>
      </c>
      <c r="J321">
        <v>11.82</v>
      </c>
      <c r="K321">
        <v>0</v>
      </c>
      <c r="L321">
        <v>4.0999999999999996</v>
      </c>
      <c r="M321">
        <v>559660.84</v>
      </c>
      <c r="N321">
        <v>71443.61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C39D50-7ED5-4D74-BF1B-C55E7872C13C}">
  <dimension ref="A1:X321"/>
  <sheetViews>
    <sheetView zoomScale="67" workbookViewId="0">
      <selection activeCell="B23" sqref="B23"/>
    </sheetView>
  </sheetViews>
  <sheetFormatPr defaultRowHeight="14"/>
  <cols>
    <col min="1" max="1" width="16" customWidth="1"/>
    <col min="2" max="2" width="16" style="14" customWidth="1"/>
    <col min="3" max="3" width="16" customWidth="1"/>
    <col min="4" max="4" width="22.75" customWidth="1"/>
    <col min="5" max="13" width="16" customWidth="1"/>
    <col min="14" max="14" width="26.5" bestFit="1" customWidth="1"/>
    <col min="15" max="15" width="16" customWidth="1"/>
    <col min="16" max="16" width="26" bestFit="1" customWidth="1"/>
    <col min="17" max="20" width="16" customWidth="1"/>
    <col min="22" max="22" width="14.58203125" customWidth="1"/>
    <col min="23" max="23" width="21.1640625" customWidth="1"/>
    <col min="24" max="24" width="14.08203125" customWidth="1"/>
  </cols>
  <sheetData>
    <row r="1" spans="1:24" ht="18.649999999999999" customHeight="1">
      <c r="A1" s="1" t="s">
        <v>0</v>
      </c>
      <c r="B1" s="13" t="s">
        <v>1</v>
      </c>
      <c r="C1" s="1" t="s">
        <v>2</v>
      </c>
      <c r="D1" s="1" t="s">
        <v>109</v>
      </c>
      <c r="E1" s="1" t="s">
        <v>110</v>
      </c>
      <c r="F1" s="1" t="s">
        <v>111</v>
      </c>
      <c r="G1" s="1" t="s">
        <v>3</v>
      </c>
      <c r="H1" s="1" t="s">
        <v>112</v>
      </c>
      <c r="I1" s="1" t="s">
        <v>113</v>
      </c>
      <c r="J1" s="1" t="s">
        <v>114</v>
      </c>
      <c r="K1" s="1" t="s">
        <v>4</v>
      </c>
      <c r="L1" s="1" t="s">
        <v>5</v>
      </c>
      <c r="M1" s="1" t="s">
        <v>6</v>
      </c>
      <c r="N1" s="1" t="s">
        <v>8</v>
      </c>
      <c r="O1" s="1" t="s">
        <v>7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V1" s="3"/>
      <c r="W1" s="3"/>
      <c r="X1" s="3"/>
    </row>
    <row r="2" spans="1:24">
      <c r="A2" t="s">
        <v>14</v>
      </c>
      <c r="B2" s="14">
        <v>45658</v>
      </c>
      <c r="C2" t="s">
        <v>15</v>
      </c>
      <c r="D2">
        <f>IF(C2="North",1,0)</f>
        <v>0</v>
      </c>
      <c r="E2">
        <f>IF(C2="South",1,0)</f>
        <v>0</v>
      </c>
      <c r="F2">
        <f>IF(C2="West",1,0)</f>
        <v>0</v>
      </c>
      <c r="G2" t="s">
        <v>16</v>
      </c>
      <c r="H2">
        <f>IF(G2="High Street",1,0)</f>
        <v>0</v>
      </c>
      <c r="I2">
        <f>IF(G2="Residential",1,0)</f>
        <v>1</v>
      </c>
      <c r="J2">
        <f>IF(G2="Airport",1,0)</f>
        <v>0</v>
      </c>
      <c r="K2">
        <v>70389.11</v>
      </c>
      <c r="L2">
        <v>8302</v>
      </c>
      <c r="M2">
        <v>4.2000000000000003E-2</v>
      </c>
      <c r="N2">
        <v>75</v>
      </c>
      <c r="O2">
        <v>17</v>
      </c>
      <c r="P2">
        <v>5.28</v>
      </c>
      <c r="Q2">
        <v>1</v>
      </c>
      <c r="R2">
        <v>3.1</v>
      </c>
      <c r="S2">
        <v>658832.62</v>
      </c>
      <c r="T2">
        <v>84349.93</v>
      </c>
    </row>
    <row r="3" spans="1:24">
      <c r="A3" t="s">
        <v>14</v>
      </c>
      <c r="B3" s="14">
        <v>45689</v>
      </c>
      <c r="C3" t="s">
        <v>15</v>
      </c>
      <c r="D3">
        <f t="shared" ref="D3:D66" si="0">IF(C3="North",1,0)</f>
        <v>0</v>
      </c>
      <c r="E3">
        <f t="shared" ref="E3:E66" si="1">IF(C3="South",1,0)</f>
        <v>0</v>
      </c>
      <c r="F3">
        <f t="shared" ref="F3:F66" si="2">IF(C3="West",1,0)</f>
        <v>0</v>
      </c>
      <c r="G3" t="s">
        <v>16</v>
      </c>
      <c r="H3">
        <f t="shared" ref="H3:H66" si="3">IF(G3="High Street",1,0)</f>
        <v>0</v>
      </c>
      <c r="I3">
        <f t="shared" ref="I3:I66" si="4">IF(G3="Residential",1,0)</f>
        <v>1</v>
      </c>
      <c r="J3">
        <f t="shared" ref="J3:J66" si="5">IF(G3="Airport",1,0)</f>
        <v>0</v>
      </c>
      <c r="K3">
        <v>43827.89</v>
      </c>
      <c r="L3">
        <v>8487</v>
      </c>
      <c r="M3">
        <v>0.16800000000000001</v>
      </c>
      <c r="N3">
        <v>84.4</v>
      </c>
      <c r="O3">
        <v>23</v>
      </c>
      <c r="P3">
        <v>4.3099999999999996</v>
      </c>
      <c r="Q3">
        <v>0</v>
      </c>
      <c r="R3">
        <v>2.8</v>
      </c>
      <c r="S3">
        <v>634436</v>
      </c>
      <c r="T3">
        <v>106130.54</v>
      </c>
    </row>
    <row r="4" spans="1:24">
      <c r="A4" t="s">
        <v>14</v>
      </c>
      <c r="B4" s="14">
        <v>45717</v>
      </c>
      <c r="C4" t="s">
        <v>15</v>
      </c>
      <c r="D4">
        <f t="shared" si="0"/>
        <v>0</v>
      </c>
      <c r="E4">
        <f t="shared" si="1"/>
        <v>0</v>
      </c>
      <c r="F4">
        <f t="shared" si="2"/>
        <v>0</v>
      </c>
      <c r="G4" t="s">
        <v>16</v>
      </c>
      <c r="H4">
        <f t="shared" si="3"/>
        <v>0</v>
      </c>
      <c r="I4">
        <f t="shared" si="4"/>
        <v>1</v>
      </c>
      <c r="J4">
        <f t="shared" si="5"/>
        <v>0</v>
      </c>
      <c r="K4">
        <v>59921.75</v>
      </c>
      <c r="L4">
        <v>9113</v>
      </c>
      <c r="M4">
        <v>0.13300000000000001</v>
      </c>
      <c r="N4">
        <v>88</v>
      </c>
      <c r="O4">
        <v>20</v>
      </c>
      <c r="P4">
        <v>12</v>
      </c>
      <c r="Q4">
        <v>0</v>
      </c>
      <c r="R4">
        <v>3.2</v>
      </c>
      <c r="S4">
        <v>678722.06</v>
      </c>
      <c r="T4">
        <v>101883.86</v>
      </c>
    </row>
    <row r="5" spans="1:24">
      <c r="A5" t="s">
        <v>14</v>
      </c>
      <c r="B5" s="14">
        <v>45748</v>
      </c>
      <c r="C5" t="s">
        <v>15</v>
      </c>
      <c r="D5">
        <f t="shared" si="0"/>
        <v>0</v>
      </c>
      <c r="E5">
        <f t="shared" si="1"/>
        <v>0</v>
      </c>
      <c r="F5">
        <f t="shared" si="2"/>
        <v>0</v>
      </c>
      <c r="G5" t="s">
        <v>16</v>
      </c>
      <c r="H5">
        <f t="shared" si="3"/>
        <v>0</v>
      </c>
      <c r="I5">
        <f t="shared" si="4"/>
        <v>1</v>
      </c>
      <c r="J5">
        <f t="shared" si="5"/>
        <v>0</v>
      </c>
      <c r="K5">
        <v>56856.63</v>
      </c>
      <c r="L5">
        <v>9431</v>
      </c>
      <c r="M5">
        <v>0.14199999999999999</v>
      </c>
      <c r="N5">
        <v>86.9</v>
      </c>
      <c r="O5">
        <v>23</v>
      </c>
      <c r="P5">
        <v>4.97</v>
      </c>
      <c r="Q5">
        <v>0</v>
      </c>
      <c r="R5">
        <v>3.4</v>
      </c>
      <c r="S5">
        <v>658920.30000000005</v>
      </c>
      <c r="T5">
        <v>97910.37</v>
      </c>
    </row>
    <row r="6" spans="1:24">
      <c r="A6" t="s">
        <v>17</v>
      </c>
      <c r="B6" s="14">
        <v>45658</v>
      </c>
      <c r="C6" t="s">
        <v>15</v>
      </c>
      <c r="D6">
        <f t="shared" si="0"/>
        <v>0</v>
      </c>
      <c r="E6">
        <f t="shared" si="1"/>
        <v>0</v>
      </c>
      <c r="F6">
        <f t="shared" si="2"/>
        <v>0</v>
      </c>
      <c r="G6" t="s">
        <v>18</v>
      </c>
      <c r="H6">
        <f t="shared" si="3"/>
        <v>1</v>
      </c>
      <c r="I6">
        <f t="shared" si="4"/>
        <v>0</v>
      </c>
      <c r="J6">
        <f t="shared" si="5"/>
        <v>0</v>
      </c>
      <c r="K6">
        <v>48412.639999999999</v>
      </c>
      <c r="L6">
        <v>9545</v>
      </c>
      <c r="M6">
        <v>0.23100000000000001</v>
      </c>
      <c r="N6">
        <v>97.6</v>
      </c>
      <c r="O6">
        <v>21</v>
      </c>
      <c r="P6">
        <v>6.94</v>
      </c>
      <c r="Q6">
        <v>1</v>
      </c>
      <c r="R6">
        <v>4.2</v>
      </c>
      <c r="S6">
        <v>741341.44</v>
      </c>
      <c r="T6">
        <v>119208.17</v>
      </c>
    </row>
    <row r="7" spans="1:24">
      <c r="A7" t="s">
        <v>17</v>
      </c>
      <c r="B7" s="14">
        <v>45689</v>
      </c>
      <c r="C7" t="s">
        <v>15</v>
      </c>
      <c r="D7">
        <f t="shared" si="0"/>
        <v>0</v>
      </c>
      <c r="E7">
        <f t="shared" si="1"/>
        <v>0</v>
      </c>
      <c r="F7">
        <f t="shared" si="2"/>
        <v>0</v>
      </c>
      <c r="G7" t="s">
        <v>18</v>
      </c>
      <c r="H7">
        <f t="shared" si="3"/>
        <v>1</v>
      </c>
      <c r="I7">
        <f t="shared" si="4"/>
        <v>0</v>
      </c>
      <c r="J7">
        <f t="shared" si="5"/>
        <v>0</v>
      </c>
      <c r="K7">
        <v>64811.21</v>
      </c>
      <c r="L7">
        <v>9792</v>
      </c>
      <c r="M7">
        <v>0.112</v>
      </c>
      <c r="N7">
        <v>84.2</v>
      </c>
      <c r="O7">
        <v>20</v>
      </c>
      <c r="P7">
        <v>2.88</v>
      </c>
      <c r="Q7">
        <v>0</v>
      </c>
      <c r="R7">
        <v>4.2</v>
      </c>
      <c r="S7">
        <v>761835.34</v>
      </c>
      <c r="T7">
        <v>149602.23000000001</v>
      </c>
    </row>
    <row r="8" spans="1:24">
      <c r="A8" t="s">
        <v>17</v>
      </c>
      <c r="B8" s="14">
        <v>45717</v>
      </c>
      <c r="C8" t="s">
        <v>15</v>
      </c>
      <c r="D8">
        <f t="shared" si="0"/>
        <v>0</v>
      </c>
      <c r="E8">
        <f t="shared" si="1"/>
        <v>0</v>
      </c>
      <c r="F8">
        <f t="shared" si="2"/>
        <v>0</v>
      </c>
      <c r="G8" t="s">
        <v>18</v>
      </c>
      <c r="H8">
        <f t="shared" si="3"/>
        <v>1</v>
      </c>
      <c r="I8">
        <f t="shared" si="4"/>
        <v>0</v>
      </c>
      <c r="J8">
        <f t="shared" si="5"/>
        <v>0</v>
      </c>
      <c r="K8">
        <v>46213.45</v>
      </c>
      <c r="L8">
        <v>10616</v>
      </c>
      <c r="M8">
        <v>0.122</v>
      </c>
      <c r="N8">
        <v>85.2</v>
      </c>
      <c r="O8">
        <v>22</v>
      </c>
      <c r="P8">
        <v>0.2</v>
      </c>
      <c r="Q8">
        <v>1</v>
      </c>
      <c r="R8">
        <v>4.0999999999999996</v>
      </c>
      <c r="S8">
        <v>806615.54</v>
      </c>
      <c r="T8">
        <v>131364.62</v>
      </c>
    </row>
    <row r="9" spans="1:24">
      <c r="A9" t="s">
        <v>17</v>
      </c>
      <c r="B9" s="14">
        <v>45748</v>
      </c>
      <c r="C9" t="s">
        <v>15</v>
      </c>
      <c r="D9">
        <f t="shared" si="0"/>
        <v>0</v>
      </c>
      <c r="E9">
        <f t="shared" si="1"/>
        <v>0</v>
      </c>
      <c r="F9">
        <f t="shared" si="2"/>
        <v>0</v>
      </c>
      <c r="G9" t="s">
        <v>18</v>
      </c>
      <c r="H9">
        <f t="shared" si="3"/>
        <v>1</v>
      </c>
      <c r="I9">
        <f t="shared" si="4"/>
        <v>0</v>
      </c>
      <c r="J9">
        <f t="shared" si="5"/>
        <v>0</v>
      </c>
      <c r="K9">
        <v>68148.52</v>
      </c>
      <c r="L9">
        <v>8567</v>
      </c>
      <c r="M9">
        <v>0.127</v>
      </c>
      <c r="N9">
        <v>95.6</v>
      </c>
      <c r="O9">
        <v>23</v>
      </c>
      <c r="P9">
        <v>0.8</v>
      </c>
      <c r="Q9">
        <v>0</v>
      </c>
      <c r="R9">
        <v>3.9</v>
      </c>
      <c r="S9">
        <v>850164.26</v>
      </c>
      <c r="T9">
        <v>149262.75</v>
      </c>
    </row>
    <row r="10" spans="1:24">
      <c r="A10" t="s">
        <v>19</v>
      </c>
      <c r="B10" s="14">
        <v>45658</v>
      </c>
      <c r="C10" t="s">
        <v>20</v>
      </c>
      <c r="D10">
        <f t="shared" si="0"/>
        <v>1</v>
      </c>
      <c r="E10">
        <f t="shared" si="1"/>
        <v>0</v>
      </c>
      <c r="F10">
        <f t="shared" si="2"/>
        <v>0</v>
      </c>
      <c r="G10" t="s">
        <v>21</v>
      </c>
      <c r="H10">
        <f t="shared" si="3"/>
        <v>0</v>
      </c>
      <c r="I10">
        <f t="shared" si="4"/>
        <v>0</v>
      </c>
      <c r="J10">
        <f t="shared" si="5"/>
        <v>1</v>
      </c>
      <c r="K10">
        <v>71838.86</v>
      </c>
      <c r="L10">
        <v>10979</v>
      </c>
      <c r="M10">
        <v>0.215</v>
      </c>
      <c r="N10">
        <v>88.6</v>
      </c>
      <c r="O10">
        <v>26</v>
      </c>
      <c r="P10">
        <v>7.7</v>
      </c>
      <c r="Q10">
        <v>1</v>
      </c>
      <c r="R10">
        <v>3.8</v>
      </c>
      <c r="S10">
        <v>930581.7</v>
      </c>
      <c r="T10">
        <v>136207.98000000001</v>
      </c>
    </row>
    <row r="11" spans="1:24">
      <c r="A11" t="s">
        <v>19</v>
      </c>
      <c r="B11" s="14">
        <v>45689</v>
      </c>
      <c r="C11" t="s">
        <v>20</v>
      </c>
      <c r="D11">
        <f t="shared" si="0"/>
        <v>1</v>
      </c>
      <c r="E11">
        <f t="shared" si="1"/>
        <v>0</v>
      </c>
      <c r="F11">
        <f t="shared" si="2"/>
        <v>0</v>
      </c>
      <c r="G11" t="s">
        <v>21</v>
      </c>
      <c r="H11">
        <f t="shared" si="3"/>
        <v>0</v>
      </c>
      <c r="I11">
        <f t="shared" si="4"/>
        <v>0</v>
      </c>
      <c r="J11">
        <f t="shared" si="5"/>
        <v>1</v>
      </c>
      <c r="K11">
        <v>68133.440000000002</v>
      </c>
      <c r="L11">
        <v>9459</v>
      </c>
      <c r="M11">
        <v>0.22</v>
      </c>
      <c r="N11">
        <v>85</v>
      </c>
      <c r="O11">
        <v>21</v>
      </c>
      <c r="P11">
        <v>1.91</v>
      </c>
      <c r="Q11">
        <v>0</v>
      </c>
      <c r="R11">
        <v>4.2</v>
      </c>
      <c r="S11">
        <v>779010.94</v>
      </c>
      <c r="T11">
        <v>106328.09</v>
      </c>
    </row>
    <row r="12" spans="1:24">
      <c r="A12" t="s">
        <v>19</v>
      </c>
      <c r="B12" s="14">
        <v>45717</v>
      </c>
      <c r="C12" t="s">
        <v>20</v>
      </c>
      <c r="D12">
        <f t="shared" si="0"/>
        <v>1</v>
      </c>
      <c r="E12">
        <f t="shared" si="1"/>
        <v>0</v>
      </c>
      <c r="F12">
        <f t="shared" si="2"/>
        <v>0</v>
      </c>
      <c r="G12" t="s">
        <v>21</v>
      </c>
      <c r="H12">
        <f t="shared" si="3"/>
        <v>0</v>
      </c>
      <c r="I12">
        <f t="shared" si="4"/>
        <v>0</v>
      </c>
      <c r="J12">
        <f t="shared" si="5"/>
        <v>1</v>
      </c>
      <c r="K12">
        <v>34285.21</v>
      </c>
      <c r="L12">
        <v>9172</v>
      </c>
      <c r="M12">
        <v>0.21299999999999999</v>
      </c>
      <c r="N12">
        <v>88.3</v>
      </c>
      <c r="O12">
        <v>22</v>
      </c>
      <c r="P12">
        <v>10.46</v>
      </c>
      <c r="Q12">
        <v>1</v>
      </c>
      <c r="R12">
        <v>3.8</v>
      </c>
      <c r="S12">
        <v>723060.76</v>
      </c>
      <c r="T12">
        <v>123131.24</v>
      </c>
    </row>
    <row r="13" spans="1:24">
      <c r="A13" t="s">
        <v>19</v>
      </c>
      <c r="B13" s="14">
        <v>45748</v>
      </c>
      <c r="C13" t="s">
        <v>20</v>
      </c>
      <c r="D13">
        <f t="shared" si="0"/>
        <v>1</v>
      </c>
      <c r="E13">
        <f t="shared" si="1"/>
        <v>0</v>
      </c>
      <c r="F13">
        <f t="shared" si="2"/>
        <v>0</v>
      </c>
      <c r="G13" t="s">
        <v>21</v>
      </c>
      <c r="H13">
        <f t="shared" si="3"/>
        <v>0</v>
      </c>
      <c r="I13">
        <f t="shared" si="4"/>
        <v>0</v>
      </c>
      <c r="J13">
        <f t="shared" si="5"/>
        <v>1</v>
      </c>
      <c r="K13">
        <v>67979.88</v>
      </c>
      <c r="L13">
        <v>11230</v>
      </c>
      <c r="M13">
        <v>2E-3</v>
      </c>
      <c r="N13">
        <v>85.3</v>
      </c>
      <c r="O13">
        <v>28</v>
      </c>
      <c r="P13">
        <v>7.16</v>
      </c>
      <c r="Q13">
        <v>0</v>
      </c>
      <c r="R13">
        <v>3.8</v>
      </c>
      <c r="S13">
        <v>910791.94</v>
      </c>
      <c r="T13">
        <v>158891.28</v>
      </c>
    </row>
    <row r="14" spans="1:24">
      <c r="A14" t="s">
        <v>22</v>
      </c>
      <c r="B14" s="14">
        <v>45658</v>
      </c>
      <c r="C14" t="s">
        <v>15</v>
      </c>
      <c r="D14">
        <f t="shared" si="0"/>
        <v>0</v>
      </c>
      <c r="E14">
        <f t="shared" si="1"/>
        <v>0</v>
      </c>
      <c r="F14">
        <f t="shared" si="2"/>
        <v>0</v>
      </c>
      <c r="G14" t="s">
        <v>16</v>
      </c>
      <c r="H14">
        <f t="shared" si="3"/>
        <v>0</v>
      </c>
      <c r="I14">
        <f t="shared" si="4"/>
        <v>1</v>
      </c>
      <c r="J14">
        <f t="shared" si="5"/>
        <v>0</v>
      </c>
      <c r="K14">
        <v>71828.259999999995</v>
      </c>
      <c r="L14">
        <v>12775</v>
      </c>
      <c r="M14">
        <v>0.11600000000000001</v>
      </c>
      <c r="N14">
        <v>81.7</v>
      </c>
      <c r="O14">
        <v>30</v>
      </c>
      <c r="P14">
        <v>4.24</v>
      </c>
      <c r="Q14">
        <v>1</v>
      </c>
      <c r="R14">
        <v>4.2</v>
      </c>
      <c r="S14">
        <v>922168.6</v>
      </c>
      <c r="T14">
        <v>107494.53</v>
      </c>
    </row>
    <row r="15" spans="1:24">
      <c r="A15" t="s">
        <v>22</v>
      </c>
      <c r="B15" s="14">
        <v>45689</v>
      </c>
      <c r="C15" t="s">
        <v>15</v>
      </c>
      <c r="D15">
        <f t="shared" si="0"/>
        <v>0</v>
      </c>
      <c r="E15">
        <f t="shared" si="1"/>
        <v>0</v>
      </c>
      <c r="F15">
        <f t="shared" si="2"/>
        <v>0</v>
      </c>
      <c r="G15" t="s">
        <v>16</v>
      </c>
      <c r="H15">
        <f t="shared" si="3"/>
        <v>0</v>
      </c>
      <c r="I15">
        <f t="shared" si="4"/>
        <v>1</v>
      </c>
      <c r="J15">
        <f t="shared" si="5"/>
        <v>0</v>
      </c>
      <c r="K15">
        <v>55716.82</v>
      </c>
      <c r="L15">
        <v>10054</v>
      </c>
      <c r="M15">
        <v>0.14599999999999999</v>
      </c>
      <c r="N15">
        <v>84.9</v>
      </c>
      <c r="O15">
        <v>24</v>
      </c>
      <c r="P15">
        <v>1.06</v>
      </c>
      <c r="Q15">
        <v>0</v>
      </c>
      <c r="R15">
        <v>4.3</v>
      </c>
      <c r="S15">
        <v>726606.28</v>
      </c>
      <c r="T15">
        <v>122729.29</v>
      </c>
    </row>
    <row r="16" spans="1:24">
      <c r="A16" t="s">
        <v>22</v>
      </c>
      <c r="B16" s="14">
        <v>45717</v>
      </c>
      <c r="C16" t="s">
        <v>15</v>
      </c>
      <c r="D16">
        <f t="shared" si="0"/>
        <v>0</v>
      </c>
      <c r="E16">
        <f t="shared" si="1"/>
        <v>0</v>
      </c>
      <c r="F16">
        <f t="shared" si="2"/>
        <v>0</v>
      </c>
      <c r="G16" t="s">
        <v>16</v>
      </c>
      <c r="H16">
        <f t="shared" si="3"/>
        <v>0</v>
      </c>
      <c r="I16">
        <f t="shared" si="4"/>
        <v>1</v>
      </c>
      <c r="J16">
        <f t="shared" si="5"/>
        <v>0</v>
      </c>
      <c r="K16">
        <v>59909.51</v>
      </c>
      <c r="L16">
        <v>8895</v>
      </c>
      <c r="M16">
        <v>0.22800000000000001</v>
      </c>
      <c r="N16">
        <v>88.8</v>
      </c>
      <c r="O16">
        <v>23</v>
      </c>
      <c r="P16">
        <v>0.27</v>
      </c>
      <c r="Q16">
        <v>0</v>
      </c>
      <c r="R16">
        <v>4.3</v>
      </c>
      <c r="S16">
        <v>746501.09</v>
      </c>
      <c r="T16">
        <v>136816.72</v>
      </c>
    </row>
    <row r="17" spans="1:20">
      <c r="A17" t="s">
        <v>22</v>
      </c>
      <c r="B17" s="14">
        <v>45748</v>
      </c>
      <c r="C17" t="s">
        <v>15</v>
      </c>
      <c r="D17">
        <f t="shared" si="0"/>
        <v>0</v>
      </c>
      <c r="E17">
        <f t="shared" si="1"/>
        <v>0</v>
      </c>
      <c r="F17">
        <f t="shared" si="2"/>
        <v>0</v>
      </c>
      <c r="G17" t="s">
        <v>16</v>
      </c>
      <c r="H17">
        <f t="shared" si="3"/>
        <v>0</v>
      </c>
      <c r="I17">
        <f t="shared" si="4"/>
        <v>1</v>
      </c>
      <c r="J17">
        <f t="shared" si="5"/>
        <v>0</v>
      </c>
      <c r="K17">
        <v>75305.710000000006</v>
      </c>
      <c r="L17">
        <v>10940</v>
      </c>
      <c r="M17">
        <v>6.0000000000000001E-3</v>
      </c>
      <c r="N17">
        <v>76.5</v>
      </c>
      <c r="O17">
        <v>26</v>
      </c>
      <c r="P17">
        <v>1.32</v>
      </c>
      <c r="Q17">
        <v>0</v>
      </c>
      <c r="R17">
        <v>4.5</v>
      </c>
      <c r="S17">
        <v>834017.02</v>
      </c>
      <c r="T17">
        <v>114745.03</v>
      </c>
    </row>
    <row r="18" spans="1:20">
      <c r="A18" t="s">
        <v>23</v>
      </c>
      <c r="B18" s="14">
        <v>45658</v>
      </c>
      <c r="C18" t="s">
        <v>24</v>
      </c>
      <c r="D18">
        <f t="shared" si="0"/>
        <v>0</v>
      </c>
      <c r="E18">
        <f t="shared" si="1"/>
        <v>1</v>
      </c>
      <c r="F18">
        <f t="shared" si="2"/>
        <v>0</v>
      </c>
      <c r="G18" t="s">
        <v>16</v>
      </c>
      <c r="H18">
        <f t="shared" si="3"/>
        <v>0</v>
      </c>
      <c r="I18">
        <f t="shared" si="4"/>
        <v>1</v>
      </c>
      <c r="J18">
        <f t="shared" si="5"/>
        <v>0</v>
      </c>
      <c r="K18">
        <v>48804.22</v>
      </c>
      <c r="L18">
        <v>7057</v>
      </c>
      <c r="M18">
        <v>5.0000000000000001E-3</v>
      </c>
      <c r="N18">
        <v>87.7</v>
      </c>
      <c r="O18">
        <v>15</v>
      </c>
      <c r="P18">
        <v>1.22</v>
      </c>
      <c r="Q18">
        <v>0</v>
      </c>
      <c r="R18">
        <v>3.7</v>
      </c>
      <c r="S18">
        <v>666152.52</v>
      </c>
      <c r="T18">
        <v>107490.58</v>
      </c>
    </row>
    <row r="19" spans="1:20">
      <c r="A19" t="s">
        <v>23</v>
      </c>
      <c r="B19" s="14">
        <v>45689</v>
      </c>
      <c r="C19" t="s">
        <v>24</v>
      </c>
      <c r="D19">
        <f t="shared" si="0"/>
        <v>0</v>
      </c>
      <c r="E19">
        <f t="shared" si="1"/>
        <v>1</v>
      </c>
      <c r="F19">
        <f t="shared" si="2"/>
        <v>0</v>
      </c>
      <c r="G19" t="s">
        <v>16</v>
      </c>
      <c r="H19">
        <f t="shared" si="3"/>
        <v>0</v>
      </c>
      <c r="I19">
        <f t="shared" si="4"/>
        <v>1</v>
      </c>
      <c r="J19">
        <f t="shared" si="5"/>
        <v>0</v>
      </c>
      <c r="K19">
        <v>59117.9</v>
      </c>
      <c r="L19">
        <v>4263</v>
      </c>
      <c r="M19">
        <v>0.11899999999999999</v>
      </c>
      <c r="N19">
        <v>87.6</v>
      </c>
      <c r="O19">
        <v>9</v>
      </c>
      <c r="P19">
        <v>4.01</v>
      </c>
      <c r="Q19">
        <v>0</v>
      </c>
      <c r="R19">
        <v>3.6</v>
      </c>
      <c r="S19">
        <v>573155.18999999994</v>
      </c>
      <c r="T19">
        <v>83680.75</v>
      </c>
    </row>
    <row r="20" spans="1:20">
      <c r="A20" t="s">
        <v>23</v>
      </c>
      <c r="B20" s="14">
        <v>45717</v>
      </c>
      <c r="C20" t="s">
        <v>24</v>
      </c>
      <c r="D20">
        <f t="shared" si="0"/>
        <v>0</v>
      </c>
      <c r="E20">
        <f t="shared" si="1"/>
        <v>1</v>
      </c>
      <c r="F20">
        <f t="shared" si="2"/>
        <v>0</v>
      </c>
      <c r="G20" t="s">
        <v>16</v>
      </c>
      <c r="H20">
        <f t="shared" si="3"/>
        <v>0</v>
      </c>
      <c r="I20">
        <f t="shared" si="4"/>
        <v>1</v>
      </c>
      <c r="J20">
        <f t="shared" si="5"/>
        <v>0</v>
      </c>
      <c r="K20">
        <v>78831.12</v>
      </c>
      <c r="L20">
        <v>5538</v>
      </c>
      <c r="M20">
        <v>0</v>
      </c>
      <c r="N20">
        <v>94.1</v>
      </c>
      <c r="O20">
        <v>15</v>
      </c>
      <c r="P20">
        <v>0.2</v>
      </c>
      <c r="Q20">
        <v>0</v>
      </c>
      <c r="R20">
        <v>3.9</v>
      </c>
      <c r="S20">
        <v>666573.19999999995</v>
      </c>
      <c r="T20">
        <v>140641.01999999999</v>
      </c>
    </row>
    <row r="21" spans="1:20">
      <c r="A21" t="s">
        <v>23</v>
      </c>
      <c r="B21" s="14">
        <v>45748</v>
      </c>
      <c r="C21" t="s">
        <v>24</v>
      </c>
      <c r="D21">
        <f t="shared" si="0"/>
        <v>0</v>
      </c>
      <c r="E21">
        <f t="shared" si="1"/>
        <v>1</v>
      </c>
      <c r="F21">
        <f t="shared" si="2"/>
        <v>0</v>
      </c>
      <c r="G21" t="s">
        <v>16</v>
      </c>
      <c r="H21">
        <f t="shared" si="3"/>
        <v>0</v>
      </c>
      <c r="I21">
        <f t="shared" si="4"/>
        <v>1</v>
      </c>
      <c r="J21">
        <f t="shared" si="5"/>
        <v>0</v>
      </c>
      <c r="K21">
        <v>41441.93</v>
      </c>
      <c r="L21">
        <v>4865</v>
      </c>
      <c r="M21">
        <v>0.158</v>
      </c>
      <c r="N21">
        <v>88.3</v>
      </c>
      <c r="O21">
        <v>16</v>
      </c>
      <c r="P21">
        <v>0.5</v>
      </c>
      <c r="Q21">
        <v>0</v>
      </c>
      <c r="R21">
        <v>4</v>
      </c>
      <c r="S21">
        <v>591619.94999999995</v>
      </c>
      <c r="T21">
        <v>99521.35</v>
      </c>
    </row>
    <row r="22" spans="1:20">
      <c r="A22" t="s">
        <v>25</v>
      </c>
      <c r="B22" s="14">
        <v>45658</v>
      </c>
      <c r="C22" t="s">
        <v>20</v>
      </c>
      <c r="D22">
        <f t="shared" si="0"/>
        <v>1</v>
      </c>
      <c r="E22">
        <f t="shared" si="1"/>
        <v>0</v>
      </c>
      <c r="F22">
        <f t="shared" si="2"/>
        <v>0</v>
      </c>
      <c r="G22" t="s">
        <v>16</v>
      </c>
      <c r="H22">
        <f t="shared" si="3"/>
        <v>0</v>
      </c>
      <c r="I22">
        <f t="shared" si="4"/>
        <v>1</v>
      </c>
      <c r="J22">
        <f t="shared" si="5"/>
        <v>0</v>
      </c>
      <c r="K22">
        <v>30356.28</v>
      </c>
      <c r="L22">
        <v>2822</v>
      </c>
      <c r="M22">
        <v>0.23100000000000001</v>
      </c>
      <c r="N22">
        <v>84.8</v>
      </c>
      <c r="O22">
        <v>9</v>
      </c>
      <c r="P22">
        <v>6.95</v>
      </c>
      <c r="Q22">
        <v>0</v>
      </c>
      <c r="R22">
        <v>5</v>
      </c>
      <c r="S22">
        <v>415721.82</v>
      </c>
      <c r="T22">
        <v>61179.15</v>
      </c>
    </row>
    <row r="23" spans="1:20">
      <c r="A23" t="s">
        <v>25</v>
      </c>
      <c r="B23" s="14">
        <v>45689</v>
      </c>
      <c r="C23" t="s">
        <v>20</v>
      </c>
      <c r="D23">
        <f t="shared" si="0"/>
        <v>1</v>
      </c>
      <c r="E23">
        <f t="shared" si="1"/>
        <v>0</v>
      </c>
      <c r="F23">
        <f t="shared" si="2"/>
        <v>0</v>
      </c>
      <c r="G23" t="s">
        <v>16</v>
      </c>
      <c r="H23">
        <f t="shared" si="3"/>
        <v>0</v>
      </c>
      <c r="I23">
        <f t="shared" si="4"/>
        <v>1</v>
      </c>
      <c r="J23">
        <f t="shared" si="5"/>
        <v>0</v>
      </c>
      <c r="K23">
        <v>33518.879999999997</v>
      </c>
      <c r="L23">
        <v>2121</v>
      </c>
      <c r="M23">
        <v>0.17599999999999999</v>
      </c>
      <c r="N23">
        <v>88.5</v>
      </c>
      <c r="O23">
        <v>8</v>
      </c>
      <c r="P23">
        <v>0.2</v>
      </c>
      <c r="Q23">
        <v>0</v>
      </c>
      <c r="R23">
        <v>5</v>
      </c>
      <c r="S23">
        <v>491905.13</v>
      </c>
      <c r="T23">
        <v>79212.259999999995</v>
      </c>
    </row>
    <row r="24" spans="1:20">
      <c r="A24" t="s">
        <v>25</v>
      </c>
      <c r="B24" s="14">
        <v>45717</v>
      </c>
      <c r="C24" t="s">
        <v>20</v>
      </c>
      <c r="D24">
        <f t="shared" si="0"/>
        <v>1</v>
      </c>
      <c r="E24">
        <f t="shared" si="1"/>
        <v>0</v>
      </c>
      <c r="F24">
        <f t="shared" si="2"/>
        <v>0</v>
      </c>
      <c r="G24" t="s">
        <v>16</v>
      </c>
      <c r="H24">
        <f t="shared" si="3"/>
        <v>0</v>
      </c>
      <c r="I24">
        <f t="shared" si="4"/>
        <v>1</v>
      </c>
      <c r="J24">
        <f t="shared" si="5"/>
        <v>0</v>
      </c>
      <c r="K24">
        <v>42267.37</v>
      </c>
      <c r="L24">
        <v>3364</v>
      </c>
      <c r="M24">
        <v>0.16</v>
      </c>
      <c r="N24">
        <v>82</v>
      </c>
      <c r="O24">
        <v>13</v>
      </c>
      <c r="P24">
        <v>1.61</v>
      </c>
      <c r="Q24">
        <v>1</v>
      </c>
      <c r="R24">
        <v>4.5999999999999996</v>
      </c>
      <c r="S24">
        <v>555929.4</v>
      </c>
      <c r="T24">
        <v>115201.76</v>
      </c>
    </row>
    <row r="25" spans="1:20">
      <c r="A25" t="s">
        <v>25</v>
      </c>
      <c r="B25" s="14">
        <v>45748</v>
      </c>
      <c r="C25" t="s">
        <v>20</v>
      </c>
      <c r="D25">
        <f t="shared" si="0"/>
        <v>1</v>
      </c>
      <c r="E25">
        <f t="shared" si="1"/>
        <v>0</v>
      </c>
      <c r="F25">
        <f t="shared" si="2"/>
        <v>0</v>
      </c>
      <c r="G25" t="s">
        <v>16</v>
      </c>
      <c r="H25">
        <f t="shared" si="3"/>
        <v>0</v>
      </c>
      <c r="I25">
        <f t="shared" si="4"/>
        <v>1</v>
      </c>
      <c r="J25">
        <f t="shared" si="5"/>
        <v>0</v>
      </c>
      <c r="K25">
        <v>62060.43</v>
      </c>
      <c r="L25">
        <v>2613</v>
      </c>
      <c r="M25">
        <v>0.216</v>
      </c>
      <c r="N25">
        <v>92.1</v>
      </c>
      <c r="O25">
        <v>12</v>
      </c>
      <c r="P25">
        <v>1.55</v>
      </c>
      <c r="Q25">
        <v>0</v>
      </c>
      <c r="R25">
        <v>4.7</v>
      </c>
      <c r="S25">
        <v>565810.99</v>
      </c>
      <c r="T25">
        <v>77825.460000000006</v>
      </c>
    </row>
    <row r="26" spans="1:20">
      <c r="A26" t="s">
        <v>26</v>
      </c>
      <c r="B26" s="14">
        <v>45658</v>
      </c>
      <c r="C26" t="s">
        <v>27</v>
      </c>
      <c r="D26">
        <f t="shared" si="0"/>
        <v>0</v>
      </c>
      <c r="E26">
        <f t="shared" si="1"/>
        <v>0</v>
      </c>
      <c r="F26">
        <f t="shared" si="2"/>
        <v>1</v>
      </c>
      <c r="G26" t="s">
        <v>28</v>
      </c>
      <c r="H26">
        <f t="shared" si="3"/>
        <v>0</v>
      </c>
      <c r="I26">
        <f t="shared" si="4"/>
        <v>0</v>
      </c>
      <c r="J26">
        <f t="shared" si="5"/>
        <v>0</v>
      </c>
      <c r="K26">
        <v>57696.69</v>
      </c>
      <c r="L26">
        <v>10218</v>
      </c>
      <c r="M26">
        <v>0.121</v>
      </c>
      <c r="N26">
        <v>94.8</v>
      </c>
      <c r="O26">
        <v>25</v>
      </c>
      <c r="P26">
        <v>2.99</v>
      </c>
      <c r="Q26">
        <v>0</v>
      </c>
      <c r="R26">
        <v>3.5</v>
      </c>
      <c r="S26">
        <v>811771.14</v>
      </c>
      <c r="T26">
        <v>148756.24</v>
      </c>
    </row>
    <row r="27" spans="1:20">
      <c r="A27" t="s">
        <v>26</v>
      </c>
      <c r="B27" s="14">
        <v>45689</v>
      </c>
      <c r="C27" t="s">
        <v>27</v>
      </c>
      <c r="D27">
        <f t="shared" si="0"/>
        <v>0</v>
      </c>
      <c r="E27">
        <f t="shared" si="1"/>
        <v>0</v>
      </c>
      <c r="F27">
        <f t="shared" si="2"/>
        <v>1</v>
      </c>
      <c r="G27" t="s">
        <v>28</v>
      </c>
      <c r="H27">
        <f t="shared" si="3"/>
        <v>0</v>
      </c>
      <c r="I27">
        <f t="shared" si="4"/>
        <v>0</v>
      </c>
      <c r="J27">
        <f t="shared" si="5"/>
        <v>0</v>
      </c>
      <c r="K27">
        <v>172415.52</v>
      </c>
      <c r="L27">
        <v>8927</v>
      </c>
      <c r="M27">
        <v>0.14000000000000001</v>
      </c>
      <c r="N27">
        <v>86.2</v>
      </c>
      <c r="O27">
        <v>22</v>
      </c>
      <c r="P27">
        <v>7.04</v>
      </c>
      <c r="Q27">
        <v>0</v>
      </c>
      <c r="R27">
        <v>3.9</v>
      </c>
      <c r="S27">
        <v>800451.94</v>
      </c>
      <c r="T27">
        <v>111572.29</v>
      </c>
    </row>
    <row r="28" spans="1:20">
      <c r="A28" t="s">
        <v>26</v>
      </c>
      <c r="B28" s="14">
        <v>45717</v>
      </c>
      <c r="C28" t="s">
        <v>27</v>
      </c>
      <c r="D28">
        <f t="shared" si="0"/>
        <v>0</v>
      </c>
      <c r="E28">
        <f t="shared" si="1"/>
        <v>0</v>
      </c>
      <c r="F28">
        <f t="shared" si="2"/>
        <v>1</v>
      </c>
      <c r="G28" t="s">
        <v>28</v>
      </c>
      <c r="H28">
        <f t="shared" si="3"/>
        <v>0</v>
      </c>
      <c r="I28">
        <f t="shared" si="4"/>
        <v>0</v>
      </c>
      <c r="J28">
        <f t="shared" si="5"/>
        <v>0</v>
      </c>
      <c r="K28">
        <v>55270.52</v>
      </c>
      <c r="L28">
        <v>9315</v>
      </c>
      <c r="M28">
        <v>0.16900000000000001</v>
      </c>
      <c r="N28">
        <v>91.9</v>
      </c>
      <c r="O28">
        <v>23</v>
      </c>
      <c r="P28">
        <v>4.9400000000000004</v>
      </c>
      <c r="Q28">
        <v>0</v>
      </c>
      <c r="R28">
        <v>4</v>
      </c>
      <c r="S28">
        <v>783672.82</v>
      </c>
      <c r="T28">
        <v>112577.14</v>
      </c>
    </row>
    <row r="29" spans="1:20">
      <c r="A29" t="s">
        <v>26</v>
      </c>
      <c r="B29" s="14">
        <v>45748</v>
      </c>
      <c r="C29" t="s">
        <v>27</v>
      </c>
      <c r="D29">
        <f t="shared" si="0"/>
        <v>0</v>
      </c>
      <c r="E29">
        <f t="shared" si="1"/>
        <v>0</v>
      </c>
      <c r="F29">
        <f t="shared" si="2"/>
        <v>1</v>
      </c>
      <c r="G29" t="s">
        <v>28</v>
      </c>
      <c r="H29">
        <f t="shared" si="3"/>
        <v>0</v>
      </c>
      <c r="I29">
        <f t="shared" si="4"/>
        <v>0</v>
      </c>
      <c r="J29">
        <f t="shared" si="5"/>
        <v>0</v>
      </c>
      <c r="K29">
        <v>52715.1</v>
      </c>
      <c r="L29">
        <v>7223</v>
      </c>
      <c r="M29">
        <v>0.122</v>
      </c>
      <c r="N29">
        <v>84.2</v>
      </c>
      <c r="O29">
        <v>16</v>
      </c>
      <c r="P29">
        <v>16.149999999999999</v>
      </c>
      <c r="Q29">
        <v>0</v>
      </c>
      <c r="R29">
        <v>3.7</v>
      </c>
      <c r="S29">
        <v>701641.97</v>
      </c>
      <c r="T29">
        <v>106111.86</v>
      </c>
    </row>
    <row r="30" spans="1:20">
      <c r="A30" t="s">
        <v>29</v>
      </c>
      <c r="B30" s="14">
        <v>45658</v>
      </c>
      <c r="C30" t="s">
        <v>15</v>
      </c>
      <c r="D30">
        <f t="shared" si="0"/>
        <v>0</v>
      </c>
      <c r="E30">
        <f t="shared" si="1"/>
        <v>0</v>
      </c>
      <c r="F30">
        <f t="shared" si="2"/>
        <v>0</v>
      </c>
      <c r="G30" t="s">
        <v>16</v>
      </c>
      <c r="H30">
        <f t="shared" si="3"/>
        <v>0</v>
      </c>
      <c r="I30">
        <f t="shared" si="4"/>
        <v>1</v>
      </c>
      <c r="J30">
        <f t="shared" si="5"/>
        <v>0</v>
      </c>
      <c r="K30">
        <v>68600.62</v>
      </c>
      <c r="L30">
        <v>3988</v>
      </c>
      <c r="M30">
        <v>0.124</v>
      </c>
      <c r="N30">
        <v>85</v>
      </c>
      <c r="O30">
        <v>11</v>
      </c>
      <c r="P30">
        <v>0.48</v>
      </c>
      <c r="Q30">
        <v>0</v>
      </c>
      <c r="R30">
        <v>3.6</v>
      </c>
      <c r="S30">
        <v>511844.41</v>
      </c>
      <c r="T30">
        <v>72774.44</v>
      </c>
    </row>
    <row r="31" spans="1:20">
      <c r="A31" t="s">
        <v>29</v>
      </c>
      <c r="B31" s="14">
        <v>45689</v>
      </c>
      <c r="C31" t="s">
        <v>15</v>
      </c>
      <c r="D31">
        <f t="shared" si="0"/>
        <v>0</v>
      </c>
      <c r="E31">
        <f t="shared" si="1"/>
        <v>0</v>
      </c>
      <c r="F31">
        <f t="shared" si="2"/>
        <v>0</v>
      </c>
      <c r="G31" t="s">
        <v>16</v>
      </c>
      <c r="H31">
        <f t="shared" si="3"/>
        <v>0</v>
      </c>
      <c r="I31">
        <f t="shared" si="4"/>
        <v>1</v>
      </c>
      <c r="J31">
        <f t="shared" si="5"/>
        <v>0</v>
      </c>
      <c r="K31">
        <v>63176.73</v>
      </c>
      <c r="L31">
        <v>2390</v>
      </c>
      <c r="M31">
        <v>0.216</v>
      </c>
      <c r="N31">
        <v>87.5</v>
      </c>
      <c r="O31">
        <v>9</v>
      </c>
      <c r="P31">
        <v>0.31</v>
      </c>
      <c r="Q31">
        <v>0</v>
      </c>
      <c r="R31">
        <v>3.1</v>
      </c>
      <c r="S31">
        <v>537383.79</v>
      </c>
      <c r="T31">
        <v>63773.27</v>
      </c>
    </row>
    <row r="32" spans="1:20">
      <c r="A32" t="s">
        <v>29</v>
      </c>
      <c r="B32" s="14">
        <v>45717</v>
      </c>
      <c r="C32" t="s">
        <v>15</v>
      </c>
      <c r="D32">
        <f t="shared" si="0"/>
        <v>0</v>
      </c>
      <c r="E32">
        <f t="shared" si="1"/>
        <v>0</v>
      </c>
      <c r="F32">
        <f t="shared" si="2"/>
        <v>0</v>
      </c>
      <c r="G32" t="s">
        <v>16</v>
      </c>
      <c r="H32">
        <f t="shared" si="3"/>
        <v>0</v>
      </c>
      <c r="I32">
        <f t="shared" si="4"/>
        <v>1</v>
      </c>
      <c r="J32">
        <f t="shared" si="5"/>
        <v>0</v>
      </c>
      <c r="K32">
        <v>44970.080000000002</v>
      </c>
      <c r="L32">
        <v>2471</v>
      </c>
      <c r="M32">
        <v>0.13600000000000001</v>
      </c>
      <c r="N32">
        <v>87.6</v>
      </c>
      <c r="O32">
        <v>11</v>
      </c>
      <c r="P32">
        <v>3.01</v>
      </c>
      <c r="Q32">
        <v>1</v>
      </c>
      <c r="R32">
        <v>3.7</v>
      </c>
      <c r="S32">
        <v>500173.02</v>
      </c>
      <c r="T32">
        <v>70982.05</v>
      </c>
    </row>
    <row r="33" spans="1:20">
      <c r="A33" t="s">
        <v>29</v>
      </c>
      <c r="B33" s="14">
        <v>45748</v>
      </c>
      <c r="C33" t="s">
        <v>15</v>
      </c>
      <c r="D33">
        <f t="shared" si="0"/>
        <v>0</v>
      </c>
      <c r="E33">
        <f t="shared" si="1"/>
        <v>0</v>
      </c>
      <c r="F33">
        <f t="shared" si="2"/>
        <v>0</v>
      </c>
      <c r="G33" t="s">
        <v>16</v>
      </c>
      <c r="H33">
        <f t="shared" si="3"/>
        <v>0</v>
      </c>
      <c r="I33">
        <f t="shared" si="4"/>
        <v>1</v>
      </c>
      <c r="J33">
        <f t="shared" si="5"/>
        <v>0</v>
      </c>
      <c r="K33">
        <v>69816.350000000006</v>
      </c>
      <c r="L33">
        <v>971</v>
      </c>
      <c r="M33">
        <v>0.16800000000000001</v>
      </c>
      <c r="N33">
        <v>89.9</v>
      </c>
      <c r="O33">
        <v>5</v>
      </c>
      <c r="P33">
        <v>12.15</v>
      </c>
      <c r="Q33">
        <v>0</v>
      </c>
      <c r="R33">
        <v>3.6</v>
      </c>
      <c r="S33">
        <v>427917.38</v>
      </c>
      <c r="T33">
        <v>81824.31</v>
      </c>
    </row>
    <row r="34" spans="1:20">
      <c r="A34" t="s">
        <v>30</v>
      </c>
      <c r="B34" s="14">
        <v>45658</v>
      </c>
      <c r="C34" t="s">
        <v>20</v>
      </c>
      <c r="D34">
        <f t="shared" si="0"/>
        <v>1</v>
      </c>
      <c r="E34">
        <f t="shared" si="1"/>
        <v>0</v>
      </c>
      <c r="F34">
        <f t="shared" si="2"/>
        <v>0</v>
      </c>
      <c r="G34" t="s">
        <v>16</v>
      </c>
      <c r="H34">
        <f t="shared" si="3"/>
        <v>0</v>
      </c>
      <c r="I34">
        <f t="shared" si="4"/>
        <v>1</v>
      </c>
      <c r="J34">
        <f t="shared" si="5"/>
        <v>0</v>
      </c>
      <c r="K34">
        <v>54597.83</v>
      </c>
      <c r="L34">
        <v>9429</v>
      </c>
      <c r="M34">
        <v>0.188</v>
      </c>
      <c r="N34">
        <v>83.3</v>
      </c>
      <c r="O34">
        <v>21</v>
      </c>
      <c r="P34">
        <v>11.71</v>
      </c>
      <c r="Q34">
        <v>0</v>
      </c>
      <c r="R34">
        <v>4.2</v>
      </c>
      <c r="S34">
        <v>641865.03</v>
      </c>
      <c r="T34">
        <v>81342.58</v>
      </c>
    </row>
    <row r="35" spans="1:20">
      <c r="A35" t="s">
        <v>30</v>
      </c>
      <c r="B35" s="14">
        <v>45689</v>
      </c>
      <c r="C35" t="s">
        <v>20</v>
      </c>
      <c r="D35">
        <f t="shared" si="0"/>
        <v>1</v>
      </c>
      <c r="E35">
        <f t="shared" si="1"/>
        <v>0</v>
      </c>
      <c r="F35">
        <f t="shared" si="2"/>
        <v>0</v>
      </c>
      <c r="G35" t="s">
        <v>16</v>
      </c>
      <c r="H35">
        <f t="shared" si="3"/>
        <v>0</v>
      </c>
      <c r="I35">
        <f t="shared" si="4"/>
        <v>1</v>
      </c>
      <c r="J35">
        <f t="shared" si="5"/>
        <v>0</v>
      </c>
      <c r="K35">
        <v>73771.91</v>
      </c>
      <c r="L35">
        <v>11695</v>
      </c>
      <c r="M35">
        <v>7.0000000000000007E-2</v>
      </c>
      <c r="N35">
        <v>84.7</v>
      </c>
      <c r="O35">
        <v>25</v>
      </c>
      <c r="P35">
        <v>0.62</v>
      </c>
      <c r="Q35">
        <v>0</v>
      </c>
      <c r="R35">
        <v>3.92</v>
      </c>
      <c r="S35">
        <v>799477.76000000001</v>
      </c>
      <c r="T35">
        <v>164974.41</v>
      </c>
    </row>
    <row r="36" spans="1:20">
      <c r="A36" t="s">
        <v>30</v>
      </c>
      <c r="B36" s="14">
        <v>45717</v>
      </c>
      <c r="C36" t="s">
        <v>20</v>
      </c>
      <c r="D36">
        <f t="shared" si="0"/>
        <v>1</v>
      </c>
      <c r="E36">
        <f t="shared" si="1"/>
        <v>0</v>
      </c>
      <c r="F36">
        <f t="shared" si="2"/>
        <v>0</v>
      </c>
      <c r="G36" t="s">
        <v>16</v>
      </c>
      <c r="H36">
        <f t="shared" si="3"/>
        <v>0</v>
      </c>
      <c r="I36">
        <f t="shared" si="4"/>
        <v>1</v>
      </c>
      <c r="J36">
        <f t="shared" si="5"/>
        <v>0</v>
      </c>
      <c r="K36">
        <v>74413.88</v>
      </c>
      <c r="L36">
        <v>9449</v>
      </c>
      <c r="M36">
        <v>3.9E-2</v>
      </c>
      <c r="N36">
        <v>92.1</v>
      </c>
      <c r="O36">
        <v>23</v>
      </c>
      <c r="P36">
        <v>2.12</v>
      </c>
      <c r="Q36">
        <v>0</v>
      </c>
      <c r="R36">
        <v>3.5</v>
      </c>
      <c r="S36">
        <v>798952.17</v>
      </c>
      <c r="T36">
        <v>161499.04</v>
      </c>
    </row>
    <row r="37" spans="1:20">
      <c r="A37" t="s">
        <v>30</v>
      </c>
      <c r="B37" s="14">
        <v>45748</v>
      </c>
      <c r="C37" t="s">
        <v>20</v>
      </c>
      <c r="D37">
        <f t="shared" si="0"/>
        <v>1</v>
      </c>
      <c r="E37">
        <f t="shared" si="1"/>
        <v>0</v>
      </c>
      <c r="F37">
        <f t="shared" si="2"/>
        <v>0</v>
      </c>
      <c r="G37" t="s">
        <v>16</v>
      </c>
      <c r="H37">
        <f t="shared" si="3"/>
        <v>0</v>
      </c>
      <c r="I37">
        <f t="shared" si="4"/>
        <v>1</v>
      </c>
      <c r="J37">
        <f t="shared" si="5"/>
        <v>0</v>
      </c>
      <c r="K37">
        <v>52483.77</v>
      </c>
      <c r="L37">
        <v>10453</v>
      </c>
      <c r="M37">
        <v>0.247</v>
      </c>
      <c r="N37">
        <v>99</v>
      </c>
      <c r="O37">
        <v>25</v>
      </c>
      <c r="P37">
        <v>6.31</v>
      </c>
      <c r="Q37">
        <v>0</v>
      </c>
      <c r="R37">
        <v>3.6</v>
      </c>
      <c r="S37">
        <v>800979.78</v>
      </c>
      <c r="T37">
        <v>149242.26999999999</v>
      </c>
    </row>
    <row r="38" spans="1:20">
      <c r="A38" t="s">
        <v>31</v>
      </c>
      <c r="B38" s="14">
        <v>45658</v>
      </c>
      <c r="C38" t="s">
        <v>20</v>
      </c>
      <c r="D38">
        <f t="shared" si="0"/>
        <v>1</v>
      </c>
      <c r="E38">
        <f t="shared" si="1"/>
        <v>0</v>
      </c>
      <c r="F38">
        <f t="shared" si="2"/>
        <v>0</v>
      </c>
      <c r="G38" t="s">
        <v>28</v>
      </c>
      <c r="H38">
        <f t="shared" si="3"/>
        <v>0</v>
      </c>
      <c r="I38">
        <f t="shared" si="4"/>
        <v>0</v>
      </c>
      <c r="J38">
        <f t="shared" si="5"/>
        <v>0</v>
      </c>
      <c r="K38">
        <v>75269.87</v>
      </c>
      <c r="L38">
        <v>8838</v>
      </c>
      <c r="M38">
        <v>9.1999999999999998E-2</v>
      </c>
      <c r="N38">
        <v>83.1</v>
      </c>
      <c r="O38">
        <v>21</v>
      </c>
      <c r="P38">
        <v>9.56</v>
      </c>
      <c r="Q38">
        <v>1</v>
      </c>
      <c r="R38">
        <v>4.2</v>
      </c>
      <c r="S38">
        <v>820593.93</v>
      </c>
      <c r="T38">
        <v>115860.06</v>
      </c>
    </row>
    <row r="39" spans="1:20">
      <c r="A39" t="s">
        <v>31</v>
      </c>
      <c r="B39" s="14">
        <v>45689</v>
      </c>
      <c r="C39" t="s">
        <v>20</v>
      </c>
      <c r="D39">
        <f t="shared" si="0"/>
        <v>1</v>
      </c>
      <c r="E39">
        <f t="shared" si="1"/>
        <v>0</v>
      </c>
      <c r="F39">
        <f t="shared" si="2"/>
        <v>0</v>
      </c>
      <c r="G39" t="s">
        <v>28</v>
      </c>
      <c r="H39">
        <f t="shared" si="3"/>
        <v>0</v>
      </c>
      <c r="I39">
        <f t="shared" si="4"/>
        <v>0</v>
      </c>
      <c r="J39">
        <f t="shared" si="5"/>
        <v>0</v>
      </c>
      <c r="K39">
        <v>61245.41</v>
      </c>
      <c r="L39">
        <v>8156</v>
      </c>
      <c r="M39">
        <v>0.156</v>
      </c>
      <c r="N39">
        <v>92.9</v>
      </c>
      <c r="O39">
        <v>19</v>
      </c>
      <c r="P39">
        <v>9.0500000000000007</v>
      </c>
      <c r="Q39">
        <v>0</v>
      </c>
      <c r="R39">
        <v>3.8</v>
      </c>
      <c r="S39">
        <v>718330.53</v>
      </c>
      <c r="T39">
        <v>93247.9</v>
      </c>
    </row>
    <row r="40" spans="1:20">
      <c r="A40" t="s">
        <v>31</v>
      </c>
      <c r="B40" s="14">
        <v>45717</v>
      </c>
      <c r="C40" t="s">
        <v>20</v>
      </c>
      <c r="D40">
        <f t="shared" si="0"/>
        <v>1</v>
      </c>
      <c r="E40">
        <f t="shared" si="1"/>
        <v>0</v>
      </c>
      <c r="F40">
        <f t="shared" si="2"/>
        <v>0</v>
      </c>
      <c r="G40" t="s">
        <v>28</v>
      </c>
      <c r="H40">
        <f t="shared" si="3"/>
        <v>0</v>
      </c>
      <c r="I40">
        <f t="shared" si="4"/>
        <v>0</v>
      </c>
      <c r="J40">
        <f t="shared" si="5"/>
        <v>0</v>
      </c>
      <c r="K40">
        <v>93381.26</v>
      </c>
      <c r="L40">
        <v>7562</v>
      </c>
      <c r="M40">
        <v>0.19800000000000001</v>
      </c>
      <c r="N40">
        <v>82.9</v>
      </c>
      <c r="O40">
        <v>19</v>
      </c>
      <c r="P40">
        <v>5.05</v>
      </c>
      <c r="Q40">
        <v>0</v>
      </c>
      <c r="R40">
        <v>4</v>
      </c>
      <c r="S40">
        <v>736633.4</v>
      </c>
      <c r="T40">
        <v>115654.66</v>
      </c>
    </row>
    <row r="41" spans="1:20">
      <c r="A41" t="s">
        <v>31</v>
      </c>
      <c r="B41" s="14">
        <v>45748</v>
      </c>
      <c r="C41" t="s">
        <v>20</v>
      </c>
      <c r="D41">
        <f t="shared" si="0"/>
        <v>1</v>
      </c>
      <c r="E41">
        <f t="shared" si="1"/>
        <v>0</v>
      </c>
      <c r="F41">
        <f t="shared" si="2"/>
        <v>0</v>
      </c>
      <c r="G41" t="s">
        <v>28</v>
      </c>
      <c r="H41">
        <f t="shared" si="3"/>
        <v>0</v>
      </c>
      <c r="I41">
        <f t="shared" si="4"/>
        <v>0</v>
      </c>
      <c r="J41">
        <f t="shared" si="5"/>
        <v>0</v>
      </c>
      <c r="K41">
        <v>65012.19</v>
      </c>
      <c r="L41">
        <v>9598</v>
      </c>
      <c r="M41">
        <v>8.5000000000000006E-2</v>
      </c>
      <c r="N41">
        <v>98.3</v>
      </c>
      <c r="O41">
        <v>24</v>
      </c>
      <c r="P41">
        <v>0.89</v>
      </c>
      <c r="Q41">
        <v>0</v>
      </c>
      <c r="R41">
        <v>3.8</v>
      </c>
      <c r="S41">
        <v>828623.85</v>
      </c>
      <c r="T41">
        <v>167320.51999999999</v>
      </c>
    </row>
    <row r="42" spans="1:20">
      <c r="A42" t="s">
        <v>32</v>
      </c>
      <c r="B42" s="14">
        <v>45658</v>
      </c>
      <c r="C42" t="s">
        <v>15</v>
      </c>
      <c r="D42">
        <f t="shared" si="0"/>
        <v>0</v>
      </c>
      <c r="E42">
        <f t="shared" si="1"/>
        <v>0</v>
      </c>
      <c r="F42">
        <f t="shared" si="2"/>
        <v>0</v>
      </c>
      <c r="G42" t="s">
        <v>28</v>
      </c>
      <c r="H42">
        <f t="shared" si="3"/>
        <v>0</v>
      </c>
      <c r="I42">
        <f t="shared" si="4"/>
        <v>0</v>
      </c>
      <c r="J42">
        <f t="shared" si="5"/>
        <v>0</v>
      </c>
      <c r="K42">
        <v>40462.94</v>
      </c>
      <c r="L42">
        <v>3660</v>
      </c>
      <c r="M42">
        <v>0.218</v>
      </c>
      <c r="N42">
        <v>95.2</v>
      </c>
      <c r="O42">
        <v>11</v>
      </c>
      <c r="P42">
        <v>5.57</v>
      </c>
      <c r="Q42">
        <v>0</v>
      </c>
      <c r="R42">
        <v>4.4000000000000004</v>
      </c>
      <c r="S42">
        <v>592195.85</v>
      </c>
      <c r="T42">
        <v>92291.56</v>
      </c>
    </row>
    <row r="43" spans="1:20">
      <c r="A43" t="s">
        <v>32</v>
      </c>
      <c r="B43" s="14">
        <v>45689</v>
      </c>
      <c r="C43" t="s">
        <v>15</v>
      </c>
      <c r="D43">
        <f t="shared" si="0"/>
        <v>0</v>
      </c>
      <c r="E43">
        <f t="shared" si="1"/>
        <v>0</v>
      </c>
      <c r="F43">
        <f t="shared" si="2"/>
        <v>0</v>
      </c>
      <c r="G43" t="s">
        <v>28</v>
      </c>
      <c r="H43">
        <f t="shared" si="3"/>
        <v>0</v>
      </c>
      <c r="I43">
        <f t="shared" si="4"/>
        <v>0</v>
      </c>
      <c r="J43">
        <f t="shared" si="5"/>
        <v>0</v>
      </c>
      <c r="K43">
        <v>46123.88</v>
      </c>
      <c r="L43">
        <v>3227</v>
      </c>
      <c r="M43">
        <v>0.14299999999999999</v>
      </c>
      <c r="N43">
        <v>75.400000000000006</v>
      </c>
      <c r="O43">
        <v>10</v>
      </c>
      <c r="P43">
        <v>1.06</v>
      </c>
      <c r="Q43">
        <v>0</v>
      </c>
      <c r="R43">
        <v>4.4000000000000004</v>
      </c>
      <c r="S43">
        <v>532644.46</v>
      </c>
      <c r="T43">
        <v>60681.32</v>
      </c>
    </row>
    <row r="44" spans="1:20">
      <c r="A44" t="s">
        <v>32</v>
      </c>
      <c r="B44" s="14">
        <v>45717</v>
      </c>
      <c r="C44" t="s">
        <v>15</v>
      </c>
      <c r="D44">
        <f t="shared" si="0"/>
        <v>0</v>
      </c>
      <c r="E44">
        <f t="shared" si="1"/>
        <v>0</v>
      </c>
      <c r="F44">
        <f t="shared" si="2"/>
        <v>0</v>
      </c>
      <c r="G44" t="s">
        <v>28</v>
      </c>
      <c r="H44">
        <f t="shared" si="3"/>
        <v>0</v>
      </c>
      <c r="I44">
        <f t="shared" si="4"/>
        <v>0</v>
      </c>
      <c r="J44">
        <f t="shared" si="5"/>
        <v>0</v>
      </c>
      <c r="K44">
        <v>68077.539999999994</v>
      </c>
      <c r="L44">
        <v>3360</v>
      </c>
      <c r="M44">
        <v>0.128</v>
      </c>
      <c r="N44">
        <v>88.2</v>
      </c>
      <c r="O44">
        <v>14</v>
      </c>
      <c r="P44">
        <v>1.24</v>
      </c>
      <c r="Q44">
        <v>1</v>
      </c>
      <c r="R44">
        <v>4</v>
      </c>
      <c r="S44">
        <v>657429.18000000005</v>
      </c>
      <c r="T44">
        <v>88919.74</v>
      </c>
    </row>
    <row r="45" spans="1:20">
      <c r="A45" t="s">
        <v>32</v>
      </c>
      <c r="B45" s="14">
        <v>45748</v>
      </c>
      <c r="C45" t="s">
        <v>15</v>
      </c>
      <c r="D45">
        <f t="shared" si="0"/>
        <v>0</v>
      </c>
      <c r="E45">
        <f t="shared" si="1"/>
        <v>0</v>
      </c>
      <c r="F45">
        <f t="shared" si="2"/>
        <v>0</v>
      </c>
      <c r="G45" t="s">
        <v>28</v>
      </c>
      <c r="H45">
        <f t="shared" si="3"/>
        <v>0</v>
      </c>
      <c r="I45">
        <f t="shared" si="4"/>
        <v>0</v>
      </c>
      <c r="J45">
        <f t="shared" si="5"/>
        <v>0</v>
      </c>
      <c r="K45">
        <v>64882.14</v>
      </c>
      <c r="L45">
        <v>3642</v>
      </c>
      <c r="M45">
        <v>1.9E-2</v>
      </c>
      <c r="N45">
        <v>87.8</v>
      </c>
      <c r="O45">
        <v>13</v>
      </c>
      <c r="P45">
        <v>4.5199999999999996</v>
      </c>
      <c r="Q45">
        <v>0</v>
      </c>
      <c r="R45">
        <v>4.2</v>
      </c>
      <c r="S45">
        <v>605178</v>
      </c>
      <c r="T45">
        <v>106958.74</v>
      </c>
    </row>
    <row r="46" spans="1:20">
      <c r="A46" t="s">
        <v>33</v>
      </c>
      <c r="B46" s="14">
        <v>45658</v>
      </c>
      <c r="C46" t="s">
        <v>27</v>
      </c>
      <c r="D46">
        <f t="shared" si="0"/>
        <v>0</v>
      </c>
      <c r="E46">
        <f t="shared" si="1"/>
        <v>0</v>
      </c>
      <c r="F46">
        <f t="shared" si="2"/>
        <v>1</v>
      </c>
      <c r="G46" t="s">
        <v>16</v>
      </c>
      <c r="H46">
        <f t="shared" si="3"/>
        <v>0</v>
      </c>
      <c r="I46">
        <f t="shared" si="4"/>
        <v>1</v>
      </c>
      <c r="J46">
        <f t="shared" si="5"/>
        <v>0</v>
      </c>
      <c r="K46">
        <v>138855.51</v>
      </c>
      <c r="L46">
        <v>5145</v>
      </c>
      <c r="M46">
        <v>0.06</v>
      </c>
      <c r="N46">
        <v>88.2</v>
      </c>
      <c r="O46">
        <v>17</v>
      </c>
      <c r="P46">
        <v>9.58</v>
      </c>
      <c r="Q46">
        <v>0</v>
      </c>
      <c r="R46">
        <v>3.2</v>
      </c>
      <c r="S46">
        <v>595467.6</v>
      </c>
      <c r="T46">
        <v>104276.46</v>
      </c>
    </row>
    <row r="47" spans="1:20">
      <c r="A47" t="s">
        <v>33</v>
      </c>
      <c r="B47" s="14">
        <v>45689</v>
      </c>
      <c r="C47" t="s">
        <v>27</v>
      </c>
      <c r="D47">
        <f t="shared" si="0"/>
        <v>0</v>
      </c>
      <c r="E47">
        <f t="shared" si="1"/>
        <v>0</v>
      </c>
      <c r="F47">
        <f t="shared" si="2"/>
        <v>1</v>
      </c>
      <c r="G47" t="s">
        <v>16</v>
      </c>
      <c r="H47">
        <f t="shared" si="3"/>
        <v>0</v>
      </c>
      <c r="I47">
        <f t="shared" si="4"/>
        <v>1</v>
      </c>
      <c r="J47">
        <f t="shared" si="5"/>
        <v>0</v>
      </c>
      <c r="K47">
        <v>63630.21</v>
      </c>
      <c r="L47">
        <v>4460</v>
      </c>
      <c r="M47">
        <v>0.23499999999999999</v>
      </c>
      <c r="N47">
        <v>98.6</v>
      </c>
      <c r="O47">
        <v>14</v>
      </c>
      <c r="P47">
        <v>5.52</v>
      </c>
      <c r="Q47">
        <v>0</v>
      </c>
      <c r="R47">
        <v>3.5</v>
      </c>
      <c r="S47">
        <v>599603.4</v>
      </c>
      <c r="T47">
        <v>112685.12</v>
      </c>
    </row>
    <row r="48" spans="1:20">
      <c r="A48" t="s">
        <v>33</v>
      </c>
      <c r="B48" s="14">
        <v>45717</v>
      </c>
      <c r="C48" t="s">
        <v>27</v>
      </c>
      <c r="D48">
        <f t="shared" si="0"/>
        <v>0</v>
      </c>
      <c r="E48">
        <f t="shared" si="1"/>
        <v>0</v>
      </c>
      <c r="F48">
        <f t="shared" si="2"/>
        <v>1</v>
      </c>
      <c r="G48" t="s">
        <v>16</v>
      </c>
      <c r="H48">
        <f t="shared" si="3"/>
        <v>0</v>
      </c>
      <c r="I48">
        <f t="shared" si="4"/>
        <v>1</v>
      </c>
      <c r="J48">
        <f t="shared" si="5"/>
        <v>0</v>
      </c>
      <c r="K48">
        <v>50043.65</v>
      </c>
      <c r="L48">
        <v>3804</v>
      </c>
      <c r="M48">
        <v>0.113</v>
      </c>
      <c r="N48">
        <v>90.9</v>
      </c>
      <c r="O48">
        <v>11</v>
      </c>
      <c r="P48">
        <v>2.7</v>
      </c>
      <c r="Q48">
        <v>1</v>
      </c>
      <c r="R48">
        <v>3.2</v>
      </c>
      <c r="S48">
        <v>614800.09</v>
      </c>
      <c r="T48">
        <v>100044.2</v>
      </c>
    </row>
    <row r="49" spans="1:20">
      <c r="A49" t="s">
        <v>33</v>
      </c>
      <c r="B49" s="14">
        <v>45748</v>
      </c>
      <c r="C49" t="s">
        <v>27</v>
      </c>
      <c r="D49">
        <f t="shared" si="0"/>
        <v>0</v>
      </c>
      <c r="E49">
        <f t="shared" si="1"/>
        <v>0</v>
      </c>
      <c r="F49">
        <f t="shared" si="2"/>
        <v>1</v>
      </c>
      <c r="G49" t="s">
        <v>16</v>
      </c>
      <c r="H49">
        <f t="shared" si="3"/>
        <v>0</v>
      </c>
      <c r="I49">
        <f t="shared" si="4"/>
        <v>1</v>
      </c>
      <c r="J49">
        <f t="shared" si="5"/>
        <v>0</v>
      </c>
      <c r="K49">
        <v>42093.84</v>
      </c>
      <c r="L49">
        <v>4074</v>
      </c>
      <c r="M49">
        <v>0.155</v>
      </c>
      <c r="N49">
        <v>88</v>
      </c>
      <c r="O49">
        <v>15</v>
      </c>
      <c r="P49">
        <v>9.64</v>
      </c>
      <c r="Q49">
        <v>0</v>
      </c>
      <c r="R49">
        <v>3.3</v>
      </c>
      <c r="S49">
        <v>585365.73</v>
      </c>
      <c r="T49">
        <v>81011.520000000004</v>
      </c>
    </row>
    <row r="50" spans="1:20">
      <c r="A50" t="s">
        <v>34</v>
      </c>
      <c r="B50" s="14">
        <v>45658</v>
      </c>
      <c r="C50" t="s">
        <v>20</v>
      </c>
      <c r="D50">
        <f t="shared" si="0"/>
        <v>1</v>
      </c>
      <c r="E50">
        <f t="shared" si="1"/>
        <v>0</v>
      </c>
      <c r="F50">
        <f t="shared" si="2"/>
        <v>0</v>
      </c>
      <c r="G50" t="s">
        <v>28</v>
      </c>
      <c r="H50">
        <f t="shared" si="3"/>
        <v>0</v>
      </c>
      <c r="I50">
        <f t="shared" si="4"/>
        <v>0</v>
      </c>
      <c r="J50">
        <f t="shared" si="5"/>
        <v>0</v>
      </c>
      <c r="K50">
        <v>46624.05</v>
      </c>
      <c r="L50">
        <v>5104</v>
      </c>
      <c r="M50">
        <v>0.109</v>
      </c>
      <c r="N50">
        <v>97.3</v>
      </c>
      <c r="O50">
        <v>11</v>
      </c>
      <c r="P50">
        <v>3.49</v>
      </c>
      <c r="Q50">
        <v>1</v>
      </c>
      <c r="R50">
        <v>4.7</v>
      </c>
      <c r="S50">
        <v>622811.74</v>
      </c>
      <c r="T50">
        <v>109978.35</v>
      </c>
    </row>
    <row r="51" spans="1:20">
      <c r="A51" t="s">
        <v>34</v>
      </c>
      <c r="B51" s="14">
        <v>45689</v>
      </c>
      <c r="C51" t="s">
        <v>20</v>
      </c>
      <c r="D51">
        <f t="shared" si="0"/>
        <v>1</v>
      </c>
      <c r="E51">
        <f t="shared" si="1"/>
        <v>0</v>
      </c>
      <c r="F51">
        <f t="shared" si="2"/>
        <v>0</v>
      </c>
      <c r="G51" t="s">
        <v>28</v>
      </c>
      <c r="H51">
        <f t="shared" si="3"/>
        <v>0</v>
      </c>
      <c r="I51">
        <f t="shared" si="4"/>
        <v>0</v>
      </c>
      <c r="J51">
        <f t="shared" si="5"/>
        <v>0</v>
      </c>
      <c r="K51">
        <v>49710.29</v>
      </c>
      <c r="L51">
        <v>5559</v>
      </c>
      <c r="M51">
        <v>0.218</v>
      </c>
      <c r="N51">
        <v>71</v>
      </c>
      <c r="O51">
        <v>14</v>
      </c>
      <c r="P51">
        <v>9.11</v>
      </c>
      <c r="Q51">
        <v>0</v>
      </c>
      <c r="R51">
        <v>4.5999999999999996</v>
      </c>
      <c r="S51">
        <v>603297.56999999995</v>
      </c>
      <c r="T51">
        <v>60592.26</v>
      </c>
    </row>
    <row r="52" spans="1:20">
      <c r="A52" t="s">
        <v>34</v>
      </c>
      <c r="B52" s="14">
        <v>45717</v>
      </c>
      <c r="C52" t="s">
        <v>20</v>
      </c>
      <c r="D52">
        <f t="shared" si="0"/>
        <v>1</v>
      </c>
      <c r="E52">
        <f t="shared" si="1"/>
        <v>0</v>
      </c>
      <c r="F52">
        <f t="shared" si="2"/>
        <v>0</v>
      </c>
      <c r="G52" t="s">
        <v>28</v>
      </c>
      <c r="H52">
        <f t="shared" si="3"/>
        <v>0</v>
      </c>
      <c r="I52">
        <f t="shared" si="4"/>
        <v>0</v>
      </c>
      <c r="J52">
        <f t="shared" si="5"/>
        <v>0</v>
      </c>
      <c r="K52">
        <v>48287.85</v>
      </c>
      <c r="L52">
        <v>5150</v>
      </c>
      <c r="M52">
        <v>8.0000000000000002E-3</v>
      </c>
      <c r="N52">
        <v>80.400000000000006</v>
      </c>
      <c r="O52">
        <v>12</v>
      </c>
      <c r="P52">
        <v>7.4</v>
      </c>
      <c r="Q52">
        <v>0</v>
      </c>
      <c r="R52">
        <v>4.5</v>
      </c>
      <c r="S52">
        <v>625672.86</v>
      </c>
      <c r="T52">
        <v>118020.12</v>
      </c>
    </row>
    <row r="53" spans="1:20">
      <c r="A53" t="s">
        <v>34</v>
      </c>
      <c r="B53" s="14">
        <v>45748</v>
      </c>
      <c r="C53" t="s">
        <v>20</v>
      </c>
      <c r="D53">
        <f t="shared" si="0"/>
        <v>1</v>
      </c>
      <c r="E53">
        <f t="shared" si="1"/>
        <v>0</v>
      </c>
      <c r="F53">
        <f t="shared" si="2"/>
        <v>0</v>
      </c>
      <c r="G53" t="s">
        <v>28</v>
      </c>
      <c r="H53">
        <f t="shared" si="3"/>
        <v>0</v>
      </c>
      <c r="I53">
        <f t="shared" si="4"/>
        <v>0</v>
      </c>
      <c r="J53">
        <f t="shared" si="5"/>
        <v>0</v>
      </c>
      <c r="K53">
        <v>65312.49</v>
      </c>
      <c r="L53">
        <v>7189</v>
      </c>
      <c r="M53">
        <v>0.05</v>
      </c>
      <c r="N53">
        <v>93.7</v>
      </c>
      <c r="O53">
        <v>19</v>
      </c>
      <c r="P53">
        <v>7.16</v>
      </c>
      <c r="Q53">
        <v>0</v>
      </c>
      <c r="R53">
        <v>4.5999999999999996</v>
      </c>
      <c r="S53">
        <v>773815.14</v>
      </c>
      <c r="T53">
        <v>133948.39000000001</v>
      </c>
    </row>
    <row r="54" spans="1:20">
      <c r="A54" t="s">
        <v>35</v>
      </c>
      <c r="B54" s="14">
        <v>45658</v>
      </c>
      <c r="C54" t="s">
        <v>27</v>
      </c>
      <c r="D54">
        <f t="shared" si="0"/>
        <v>0</v>
      </c>
      <c r="E54">
        <f t="shared" si="1"/>
        <v>0</v>
      </c>
      <c r="F54">
        <f t="shared" si="2"/>
        <v>1</v>
      </c>
      <c r="G54" t="s">
        <v>18</v>
      </c>
      <c r="H54">
        <f t="shared" si="3"/>
        <v>1</v>
      </c>
      <c r="I54">
        <f t="shared" si="4"/>
        <v>0</v>
      </c>
      <c r="J54">
        <f t="shared" si="5"/>
        <v>0</v>
      </c>
      <c r="K54">
        <v>53015.46</v>
      </c>
      <c r="L54">
        <v>3279</v>
      </c>
      <c r="M54">
        <v>8.6999999999999994E-2</v>
      </c>
      <c r="N54">
        <v>84.3</v>
      </c>
      <c r="O54">
        <v>9</v>
      </c>
      <c r="P54">
        <v>22.02</v>
      </c>
      <c r="Q54">
        <v>0</v>
      </c>
      <c r="R54">
        <v>3.9</v>
      </c>
      <c r="S54">
        <v>463534.25</v>
      </c>
      <c r="T54">
        <v>81834.539999999994</v>
      </c>
    </row>
    <row r="55" spans="1:20">
      <c r="A55" t="s">
        <v>35</v>
      </c>
      <c r="B55" s="14">
        <v>45689</v>
      </c>
      <c r="C55" t="s">
        <v>27</v>
      </c>
      <c r="D55">
        <f t="shared" si="0"/>
        <v>0</v>
      </c>
      <c r="E55">
        <f t="shared" si="1"/>
        <v>0</v>
      </c>
      <c r="F55">
        <f t="shared" si="2"/>
        <v>1</v>
      </c>
      <c r="G55" t="s">
        <v>18</v>
      </c>
      <c r="H55">
        <f t="shared" si="3"/>
        <v>1</v>
      </c>
      <c r="I55">
        <f t="shared" si="4"/>
        <v>0</v>
      </c>
      <c r="J55">
        <f t="shared" si="5"/>
        <v>0</v>
      </c>
      <c r="K55">
        <v>99874.01</v>
      </c>
      <c r="L55">
        <v>5887</v>
      </c>
      <c r="M55">
        <v>0.26200000000000001</v>
      </c>
      <c r="N55">
        <v>88.7</v>
      </c>
      <c r="O55">
        <v>14</v>
      </c>
      <c r="P55">
        <v>6.18</v>
      </c>
      <c r="Q55">
        <v>0</v>
      </c>
      <c r="R55">
        <v>4.7</v>
      </c>
      <c r="S55">
        <v>746677.75</v>
      </c>
      <c r="T55">
        <v>122437.84</v>
      </c>
    </row>
    <row r="56" spans="1:20">
      <c r="A56" t="s">
        <v>35</v>
      </c>
      <c r="B56" s="14">
        <v>45717</v>
      </c>
      <c r="C56" t="s">
        <v>27</v>
      </c>
      <c r="D56">
        <f t="shared" si="0"/>
        <v>0</v>
      </c>
      <c r="E56">
        <f t="shared" si="1"/>
        <v>0</v>
      </c>
      <c r="F56">
        <f t="shared" si="2"/>
        <v>1</v>
      </c>
      <c r="G56" t="s">
        <v>18</v>
      </c>
      <c r="H56">
        <f t="shared" si="3"/>
        <v>1</v>
      </c>
      <c r="I56">
        <f t="shared" si="4"/>
        <v>0</v>
      </c>
      <c r="J56">
        <f t="shared" si="5"/>
        <v>0</v>
      </c>
      <c r="K56">
        <v>81195.5</v>
      </c>
      <c r="L56">
        <v>5516</v>
      </c>
      <c r="M56">
        <v>0.106</v>
      </c>
      <c r="N56">
        <v>88</v>
      </c>
      <c r="O56">
        <v>14</v>
      </c>
      <c r="P56">
        <v>1.76</v>
      </c>
      <c r="Q56">
        <v>0</v>
      </c>
      <c r="R56">
        <v>4.3</v>
      </c>
      <c r="S56">
        <v>720852.5</v>
      </c>
      <c r="T56">
        <v>98565.62</v>
      </c>
    </row>
    <row r="57" spans="1:20">
      <c r="A57" t="s">
        <v>35</v>
      </c>
      <c r="B57" s="14">
        <v>45748</v>
      </c>
      <c r="C57" t="s">
        <v>27</v>
      </c>
      <c r="D57">
        <f t="shared" si="0"/>
        <v>0</v>
      </c>
      <c r="E57">
        <f t="shared" si="1"/>
        <v>0</v>
      </c>
      <c r="F57">
        <f t="shared" si="2"/>
        <v>1</v>
      </c>
      <c r="G57" t="s">
        <v>18</v>
      </c>
      <c r="H57">
        <f t="shared" si="3"/>
        <v>1</v>
      </c>
      <c r="I57">
        <f t="shared" si="4"/>
        <v>0</v>
      </c>
      <c r="J57">
        <f t="shared" si="5"/>
        <v>0</v>
      </c>
      <c r="K57">
        <v>27808.6</v>
      </c>
      <c r="L57">
        <v>2863</v>
      </c>
      <c r="M57">
        <v>0.08</v>
      </c>
      <c r="N57">
        <v>89.3</v>
      </c>
      <c r="O57">
        <v>13</v>
      </c>
      <c r="P57">
        <v>0.47</v>
      </c>
      <c r="Q57">
        <v>0</v>
      </c>
      <c r="R57">
        <v>4.0999999999999996</v>
      </c>
      <c r="S57">
        <v>487464.91</v>
      </c>
      <c r="T57">
        <v>64562.26</v>
      </c>
    </row>
    <row r="58" spans="1:20">
      <c r="A58" t="s">
        <v>36</v>
      </c>
      <c r="B58" s="14">
        <v>45658</v>
      </c>
      <c r="C58" t="s">
        <v>15</v>
      </c>
      <c r="D58">
        <f t="shared" si="0"/>
        <v>0</v>
      </c>
      <c r="E58">
        <f t="shared" si="1"/>
        <v>0</v>
      </c>
      <c r="F58">
        <f t="shared" si="2"/>
        <v>0</v>
      </c>
      <c r="G58" t="s">
        <v>21</v>
      </c>
      <c r="H58">
        <f t="shared" si="3"/>
        <v>0</v>
      </c>
      <c r="I58">
        <f t="shared" si="4"/>
        <v>0</v>
      </c>
      <c r="J58">
        <f t="shared" si="5"/>
        <v>1</v>
      </c>
      <c r="K58">
        <v>19365.060000000001</v>
      </c>
      <c r="L58">
        <v>2378</v>
      </c>
      <c r="M58">
        <v>0</v>
      </c>
      <c r="N58">
        <v>94.8</v>
      </c>
      <c r="O58">
        <v>12</v>
      </c>
      <c r="P58">
        <v>0.2</v>
      </c>
      <c r="Q58">
        <v>0</v>
      </c>
      <c r="R58">
        <v>3.5</v>
      </c>
      <c r="S58">
        <v>518049.26</v>
      </c>
      <c r="T58">
        <v>108592.49</v>
      </c>
    </row>
    <row r="59" spans="1:20">
      <c r="A59" t="s">
        <v>36</v>
      </c>
      <c r="B59" s="14">
        <v>45689</v>
      </c>
      <c r="C59" t="s">
        <v>15</v>
      </c>
      <c r="D59">
        <f t="shared" si="0"/>
        <v>0</v>
      </c>
      <c r="E59">
        <f t="shared" si="1"/>
        <v>0</v>
      </c>
      <c r="F59">
        <f t="shared" si="2"/>
        <v>0</v>
      </c>
      <c r="G59" t="s">
        <v>21</v>
      </c>
      <c r="H59">
        <f t="shared" si="3"/>
        <v>0</v>
      </c>
      <c r="I59">
        <f t="shared" si="4"/>
        <v>0</v>
      </c>
      <c r="J59">
        <f t="shared" si="5"/>
        <v>1</v>
      </c>
      <c r="K59">
        <v>59405.68</v>
      </c>
      <c r="L59">
        <v>2515</v>
      </c>
      <c r="M59">
        <v>3.9E-2</v>
      </c>
      <c r="N59">
        <v>76</v>
      </c>
      <c r="O59">
        <v>12</v>
      </c>
      <c r="P59">
        <v>5.1100000000000003</v>
      </c>
      <c r="Q59">
        <v>0</v>
      </c>
      <c r="R59">
        <v>3.7</v>
      </c>
      <c r="S59">
        <v>500298.48</v>
      </c>
      <c r="T59">
        <v>73461.320000000007</v>
      </c>
    </row>
    <row r="60" spans="1:20">
      <c r="A60" t="s">
        <v>36</v>
      </c>
      <c r="B60" s="14">
        <v>45717</v>
      </c>
      <c r="C60" t="s">
        <v>15</v>
      </c>
      <c r="D60">
        <f t="shared" si="0"/>
        <v>0</v>
      </c>
      <c r="E60">
        <f t="shared" si="1"/>
        <v>0</v>
      </c>
      <c r="F60">
        <f t="shared" si="2"/>
        <v>0</v>
      </c>
      <c r="G60" t="s">
        <v>21</v>
      </c>
      <c r="H60">
        <f t="shared" si="3"/>
        <v>0</v>
      </c>
      <c r="I60">
        <f t="shared" si="4"/>
        <v>0</v>
      </c>
      <c r="J60">
        <f t="shared" si="5"/>
        <v>1</v>
      </c>
      <c r="K60">
        <v>118910.48</v>
      </c>
      <c r="L60">
        <v>4022</v>
      </c>
      <c r="M60">
        <v>0.13700000000000001</v>
      </c>
      <c r="N60">
        <v>87.1</v>
      </c>
      <c r="O60">
        <v>11</v>
      </c>
      <c r="P60">
        <v>0.2</v>
      </c>
      <c r="Q60">
        <v>0</v>
      </c>
      <c r="R60">
        <v>3.1</v>
      </c>
      <c r="S60">
        <v>617291.15</v>
      </c>
      <c r="T60">
        <v>117782</v>
      </c>
    </row>
    <row r="61" spans="1:20">
      <c r="A61" t="s">
        <v>36</v>
      </c>
      <c r="B61" s="14">
        <v>45748</v>
      </c>
      <c r="C61" t="s">
        <v>15</v>
      </c>
      <c r="D61">
        <f t="shared" si="0"/>
        <v>0</v>
      </c>
      <c r="E61">
        <f t="shared" si="1"/>
        <v>0</v>
      </c>
      <c r="F61">
        <f t="shared" si="2"/>
        <v>0</v>
      </c>
      <c r="G61" t="s">
        <v>21</v>
      </c>
      <c r="H61">
        <f t="shared" si="3"/>
        <v>0</v>
      </c>
      <c r="I61">
        <f t="shared" si="4"/>
        <v>0</v>
      </c>
      <c r="J61">
        <f t="shared" si="5"/>
        <v>1</v>
      </c>
      <c r="K61">
        <v>52952.12</v>
      </c>
      <c r="L61">
        <v>4377</v>
      </c>
      <c r="M61">
        <v>9.1999999999999998E-2</v>
      </c>
      <c r="N61">
        <v>88.6</v>
      </c>
      <c r="O61">
        <v>14</v>
      </c>
      <c r="P61">
        <v>13.59</v>
      </c>
      <c r="Q61">
        <v>0</v>
      </c>
      <c r="R61">
        <v>3.1</v>
      </c>
      <c r="S61">
        <v>553756.43000000005</v>
      </c>
      <c r="T61">
        <v>86166.77</v>
      </c>
    </row>
    <row r="62" spans="1:20">
      <c r="A62" t="s">
        <v>37</v>
      </c>
      <c r="B62" s="14">
        <v>45658</v>
      </c>
      <c r="C62" t="s">
        <v>24</v>
      </c>
      <c r="D62">
        <f t="shared" si="0"/>
        <v>0</v>
      </c>
      <c r="E62">
        <f t="shared" si="1"/>
        <v>1</v>
      </c>
      <c r="F62">
        <f t="shared" si="2"/>
        <v>0</v>
      </c>
      <c r="G62" t="s">
        <v>18</v>
      </c>
      <c r="H62">
        <f t="shared" si="3"/>
        <v>1</v>
      </c>
      <c r="I62">
        <f t="shared" si="4"/>
        <v>0</v>
      </c>
      <c r="J62">
        <f t="shared" si="5"/>
        <v>0</v>
      </c>
      <c r="K62">
        <v>74907.98</v>
      </c>
      <c r="L62">
        <v>5306</v>
      </c>
      <c r="M62">
        <v>6.2E-2</v>
      </c>
      <c r="N62">
        <v>95.6</v>
      </c>
      <c r="O62">
        <v>16</v>
      </c>
      <c r="P62">
        <v>1.02</v>
      </c>
      <c r="Q62">
        <v>0</v>
      </c>
      <c r="R62">
        <v>3.7</v>
      </c>
      <c r="S62">
        <v>749559.71</v>
      </c>
      <c r="T62">
        <v>144522.53</v>
      </c>
    </row>
    <row r="63" spans="1:20">
      <c r="A63" t="s">
        <v>37</v>
      </c>
      <c r="B63" s="14">
        <v>45689</v>
      </c>
      <c r="C63" t="s">
        <v>24</v>
      </c>
      <c r="D63">
        <f t="shared" si="0"/>
        <v>0</v>
      </c>
      <c r="E63">
        <f t="shared" si="1"/>
        <v>1</v>
      </c>
      <c r="F63">
        <f t="shared" si="2"/>
        <v>0</v>
      </c>
      <c r="G63" t="s">
        <v>18</v>
      </c>
      <c r="H63">
        <f t="shared" si="3"/>
        <v>1</v>
      </c>
      <c r="I63">
        <f t="shared" si="4"/>
        <v>0</v>
      </c>
      <c r="J63">
        <f t="shared" si="5"/>
        <v>0</v>
      </c>
      <c r="K63">
        <v>37284.660000000003</v>
      </c>
      <c r="L63">
        <v>3928</v>
      </c>
      <c r="M63">
        <v>7.3999999999999996E-2</v>
      </c>
      <c r="N63">
        <v>86.5</v>
      </c>
      <c r="O63">
        <v>12</v>
      </c>
      <c r="P63">
        <v>1.64</v>
      </c>
      <c r="Q63">
        <v>0</v>
      </c>
      <c r="R63">
        <v>3.8</v>
      </c>
      <c r="S63">
        <v>615966.48</v>
      </c>
      <c r="T63">
        <v>91509.38</v>
      </c>
    </row>
    <row r="64" spans="1:20">
      <c r="A64" t="s">
        <v>37</v>
      </c>
      <c r="B64" s="14">
        <v>45717</v>
      </c>
      <c r="C64" t="s">
        <v>24</v>
      </c>
      <c r="D64">
        <f t="shared" si="0"/>
        <v>0</v>
      </c>
      <c r="E64">
        <f t="shared" si="1"/>
        <v>1</v>
      </c>
      <c r="F64">
        <f t="shared" si="2"/>
        <v>0</v>
      </c>
      <c r="G64" t="s">
        <v>18</v>
      </c>
      <c r="H64">
        <f t="shared" si="3"/>
        <v>1</v>
      </c>
      <c r="I64">
        <f t="shared" si="4"/>
        <v>0</v>
      </c>
      <c r="J64">
        <f t="shared" si="5"/>
        <v>0</v>
      </c>
      <c r="K64">
        <v>50343.19</v>
      </c>
      <c r="L64">
        <v>3845</v>
      </c>
      <c r="M64">
        <v>0.113</v>
      </c>
      <c r="N64">
        <v>88.7</v>
      </c>
      <c r="O64">
        <v>9</v>
      </c>
      <c r="P64">
        <v>5.15</v>
      </c>
      <c r="Q64">
        <v>0</v>
      </c>
      <c r="R64">
        <v>3.3</v>
      </c>
      <c r="S64">
        <v>572011.19999999995</v>
      </c>
      <c r="T64">
        <v>101409.68</v>
      </c>
    </row>
    <row r="65" spans="1:20">
      <c r="A65" t="s">
        <v>37</v>
      </c>
      <c r="B65" s="14">
        <v>45748</v>
      </c>
      <c r="C65" t="s">
        <v>24</v>
      </c>
      <c r="D65">
        <f t="shared" si="0"/>
        <v>0</v>
      </c>
      <c r="E65">
        <f t="shared" si="1"/>
        <v>1</v>
      </c>
      <c r="F65">
        <f t="shared" si="2"/>
        <v>0</v>
      </c>
      <c r="G65" t="s">
        <v>18</v>
      </c>
      <c r="H65">
        <f t="shared" si="3"/>
        <v>1</v>
      </c>
      <c r="I65">
        <f t="shared" si="4"/>
        <v>0</v>
      </c>
      <c r="J65">
        <f t="shared" si="5"/>
        <v>0</v>
      </c>
      <c r="K65">
        <v>74954.47</v>
      </c>
      <c r="L65">
        <v>6620</v>
      </c>
      <c r="M65">
        <v>5.3999999999999999E-2</v>
      </c>
      <c r="N65">
        <v>91.1</v>
      </c>
      <c r="O65">
        <v>17</v>
      </c>
      <c r="P65">
        <v>1.1100000000000001</v>
      </c>
      <c r="Q65">
        <v>0</v>
      </c>
      <c r="R65">
        <v>3.5</v>
      </c>
      <c r="S65">
        <v>761860.19</v>
      </c>
      <c r="T65">
        <v>133279.38</v>
      </c>
    </row>
    <row r="66" spans="1:20">
      <c r="A66" t="s">
        <v>38</v>
      </c>
      <c r="B66" s="14">
        <v>45658</v>
      </c>
      <c r="C66" t="s">
        <v>27</v>
      </c>
      <c r="D66">
        <f t="shared" si="0"/>
        <v>0</v>
      </c>
      <c r="E66">
        <f t="shared" si="1"/>
        <v>0</v>
      </c>
      <c r="F66">
        <f t="shared" si="2"/>
        <v>1</v>
      </c>
      <c r="G66" t="s">
        <v>18</v>
      </c>
      <c r="H66">
        <f t="shared" si="3"/>
        <v>1</v>
      </c>
      <c r="I66">
        <f t="shared" si="4"/>
        <v>0</v>
      </c>
      <c r="J66">
        <f t="shared" si="5"/>
        <v>0</v>
      </c>
      <c r="K66">
        <v>70040.31</v>
      </c>
      <c r="L66">
        <v>9175</v>
      </c>
      <c r="M66">
        <v>0.107</v>
      </c>
      <c r="N66">
        <v>95.1</v>
      </c>
      <c r="O66">
        <v>23</v>
      </c>
      <c r="P66">
        <v>6.08</v>
      </c>
      <c r="Q66">
        <v>1</v>
      </c>
      <c r="R66">
        <v>3.4</v>
      </c>
      <c r="S66">
        <v>784502.68</v>
      </c>
      <c r="T66">
        <v>129519.72</v>
      </c>
    </row>
    <row r="67" spans="1:20">
      <c r="A67" t="s">
        <v>38</v>
      </c>
      <c r="B67" s="14">
        <v>45689</v>
      </c>
      <c r="C67" t="s">
        <v>27</v>
      </c>
      <c r="D67">
        <f t="shared" ref="D67:D130" si="6">IF(C67="North",1,0)</f>
        <v>0</v>
      </c>
      <c r="E67">
        <f t="shared" ref="E67:E130" si="7">IF(C67="South",1,0)</f>
        <v>0</v>
      </c>
      <c r="F67">
        <f t="shared" ref="F67:F130" si="8">IF(C67="West",1,0)</f>
        <v>1</v>
      </c>
      <c r="G67" t="s">
        <v>18</v>
      </c>
      <c r="H67">
        <f t="shared" ref="H67:H130" si="9">IF(G67="High Street",1,0)</f>
        <v>1</v>
      </c>
      <c r="I67">
        <f t="shared" ref="I67:I130" si="10">IF(G67="Residential",1,0)</f>
        <v>0</v>
      </c>
      <c r="J67">
        <f t="shared" ref="J67:J130" si="11">IF(G67="Airport",1,0)</f>
        <v>0</v>
      </c>
      <c r="K67">
        <v>51148.69</v>
      </c>
      <c r="L67">
        <v>7940</v>
      </c>
      <c r="M67">
        <v>0.156</v>
      </c>
      <c r="N67">
        <v>93.3</v>
      </c>
      <c r="O67">
        <v>18</v>
      </c>
      <c r="P67">
        <v>10.91</v>
      </c>
      <c r="Q67">
        <v>0</v>
      </c>
      <c r="R67">
        <v>3.6</v>
      </c>
      <c r="S67">
        <v>717141.55</v>
      </c>
      <c r="T67">
        <v>134013.60999999999</v>
      </c>
    </row>
    <row r="68" spans="1:20">
      <c r="A68" t="s">
        <v>38</v>
      </c>
      <c r="B68" s="14">
        <v>45717</v>
      </c>
      <c r="C68" t="s">
        <v>27</v>
      </c>
      <c r="D68">
        <f t="shared" si="6"/>
        <v>0</v>
      </c>
      <c r="E68">
        <f t="shared" si="7"/>
        <v>0</v>
      </c>
      <c r="F68">
        <f t="shared" si="8"/>
        <v>1</v>
      </c>
      <c r="G68" t="s">
        <v>18</v>
      </c>
      <c r="H68">
        <f t="shared" si="9"/>
        <v>1</v>
      </c>
      <c r="I68">
        <f t="shared" si="10"/>
        <v>0</v>
      </c>
      <c r="J68">
        <f t="shared" si="11"/>
        <v>0</v>
      </c>
      <c r="K68">
        <v>79346.100000000006</v>
      </c>
      <c r="L68">
        <v>9628</v>
      </c>
      <c r="M68">
        <v>0.10199999999999999</v>
      </c>
      <c r="N68">
        <v>99</v>
      </c>
      <c r="O68">
        <v>20</v>
      </c>
      <c r="P68">
        <v>19.010000000000002</v>
      </c>
      <c r="Q68">
        <v>1</v>
      </c>
      <c r="R68">
        <v>3.2</v>
      </c>
      <c r="S68">
        <v>685379.08</v>
      </c>
      <c r="T68">
        <v>106898.82</v>
      </c>
    </row>
    <row r="69" spans="1:20">
      <c r="A69" t="s">
        <v>38</v>
      </c>
      <c r="B69" s="14">
        <v>45748</v>
      </c>
      <c r="C69" t="s">
        <v>27</v>
      </c>
      <c r="D69">
        <f t="shared" si="6"/>
        <v>0</v>
      </c>
      <c r="E69">
        <f t="shared" si="7"/>
        <v>0</v>
      </c>
      <c r="F69">
        <f t="shared" si="8"/>
        <v>1</v>
      </c>
      <c r="G69" t="s">
        <v>18</v>
      </c>
      <c r="H69">
        <f t="shared" si="9"/>
        <v>1</v>
      </c>
      <c r="I69">
        <f t="shared" si="10"/>
        <v>0</v>
      </c>
      <c r="J69">
        <f t="shared" si="11"/>
        <v>0</v>
      </c>
      <c r="K69">
        <v>42018.400000000001</v>
      </c>
      <c r="L69">
        <v>8296</v>
      </c>
      <c r="M69">
        <v>0.115</v>
      </c>
      <c r="N69">
        <v>91.8</v>
      </c>
      <c r="O69">
        <v>17</v>
      </c>
      <c r="P69">
        <v>0.77</v>
      </c>
      <c r="Q69">
        <v>0</v>
      </c>
      <c r="R69">
        <v>3.4</v>
      </c>
      <c r="S69">
        <v>740496.65</v>
      </c>
      <c r="T69">
        <v>128020.9</v>
      </c>
    </row>
    <row r="70" spans="1:20">
      <c r="A70" t="s">
        <v>39</v>
      </c>
      <c r="B70" s="14">
        <v>45658</v>
      </c>
      <c r="C70" t="s">
        <v>15</v>
      </c>
      <c r="D70">
        <f t="shared" si="6"/>
        <v>0</v>
      </c>
      <c r="E70">
        <f t="shared" si="7"/>
        <v>0</v>
      </c>
      <c r="F70">
        <f t="shared" si="8"/>
        <v>0</v>
      </c>
      <c r="G70" t="s">
        <v>18</v>
      </c>
      <c r="H70">
        <f t="shared" si="9"/>
        <v>1</v>
      </c>
      <c r="I70">
        <f t="shared" si="10"/>
        <v>0</v>
      </c>
      <c r="J70">
        <f t="shared" si="11"/>
        <v>0</v>
      </c>
      <c r="K70">
        <v>70937.240000000005</v>
      </c>
      <c r="L70">
        <v>3595</v>
      </c>
      <c r="M70">
        <v>0.14099999999999999</v>
      </c>
      <c r="N70">
        <v>88.9</v>
      </c>
      <c r="O70">
        <v>11</v>
      </c>
      <c r="P70">
        <v>2.83</v>
      </c>
      <c r="Q70">
        <v>1</v>
      </c>
      <c r="R70">
        <v>3.3</v>
      </c>
      <c r="S70">
        <v>661927.14</v>
      </c>
      <c r="T70">
        <v>79218.570000000007</v>
      </c>
    </row>
    <row r="71" spans="1:20">
      <c r="A71" t="s">
        <v>39</v>
      </c>
      <c r="B71" s="14">
        <v>45689</v>
      </c>
      <c r="C71" t="s">
        <v>15</v>
      </c>
      <c r="D71">
        <f t="shared" si="6"/>
        <v>0</v>
      </c>
      <c r="E71">
        <f t="shared" si="7"/>
        <v>0</v>
      </c>
      <c r="F71">
        <f t="shared" si="8"/>
        <v>0</v>
      </c>
      <c r="G71" t="s">
        <v>18</v>
      </c>
      <c r="H71">
        <f t="shared" si="9"/>
        <v>1</v>
      </c>
      <c r="I71">
        <f t="shared" si="10"/>
        <v>0</v>
      </c>
      <c r="J71">
        <f t="shared" si="11"/>
        <v>0</v>
      </c>
      <c r="K71">
        <v>36813.449999999997</v>
      </c>
      <c r="L71">
        <v>2834</v>
      </c>
      <c r="M71">
        <v>0.191</v>
      </c>
      <c r="N71">
        <v>81.8</v>
      </c>
      <c r="O71">
        <v>11</v>
      </c>
      <c r="P71">
        <v>2.33</v>
      </c>
      <c r="Q71">
        <v>0</v>
      </c>
      <c r="R71">
        <v>3.3</v>
      </c>
      <c r="S71">
        <v>479050.5</v>
      </c>
      <c r="T71">
        <v>53651.11</v>
      </c>
    </row>
    <row r="72" spans="1:20">
      <c r="A72" t="s">
        <v>39</v>
      </c>
      <c r="B72" s="14">
        <v>45717</v>
      </c>
      <c r="C72" t="s">
        <v>15</v>
      </c>
      <c r="D72">
        <f t="shared" si="6"/>
        <v>0</v>
      </c>
      <c r="E72">
        <f t="shared" si="7"/>
        <v>0</v>
      </c>
      <c r="F72">
        <f t="shared" si="8"/>
        <v>0</v>
      </c>
      <c r="G72" t="s">
        <v>18</v>
      </c>
      <c r="H72">
        <f t="shared" si="9"/>
        <v>1</v>
      </c>
      <c r="I72">
        <f t="shared" si="10"/>
        <v>0</v>
      </c>
      <c r="J72">
        <f t="shared" si="11"/>
        <v>0</v>
      </c>
      <c r="K72">
        <v>60571.82</v>
      </c>
      <c r="L72">
        <v>3193</v>
      </c>
      <c r="M72">
        <v>0.19700000000000001</v>
      </c>
      <c r="N72">
        <v>99</v>
      </c>
      <c r="O72">
        <v>7</v>
      </c>
      <c r="P72">
        <v>1.43</v>
      </c>
      <c r="Q72">
        <v>0</v>
      </c>
      <c r="R72">
        <v>3.2</v>
      </c>
      <c r="S72">
        <v>605023.87</v>
      </c>
      <c r="T72">
        <v>98545.81</v>
      </c>
    </row>
    <row r="73" spans="1:20">
      <c r="A73" t="s">
        <v>39</v>
      </c>
      <c r="B73" s="14">
        <v>45748</v>
      </c>
      <c r="C73" t="s">
        <v>15</v>
      </c>
      <c r="D73">
        <f t="shared" si="6"/>
        <v>0</v>
      </c>
      <c r="E73">
        <f t="shared" si="7"/>
        <v>0</v>
      </c>
      <c r="F73">
        <f t="shared" si="8"/>
        <v>0</v>
      </c>
      <c r="G73" t="s">
        <v>18</v>
      </c>
      <c r="H73">
        <f t="shared" si="9"/>
        <v>1</v>
      </c>
      <c r="I73">
        <f t="shared" si="10"/>
        <v>0</v>
      </c>
      <c r="J73">
        <f t="shared" si="11"/>
        <v>0</v>
      </c>
      <c r="K73">
        <v>55081.16</v>
      </c>
      <c r="L73">
        <v>5485</v>
      </c>
      <c r="M73">
        <v>3.5999999999999997E-2</v>
      </c>
      <c r="N73">
        <v>88</v>
      </c>
      <c r="O73">
        <v>12</v>
      </c>
      <c r="P73">
        <v>3.3650000000000002</v>
      </c>
      <c r="Q73">
        <v>0</v>
      </c>
      <c r="R73">
        <v>3.5</v>
      </c>
      <c r="S73">
        <v>674774.09</v>
      </c>
      <c r="T73">
        <v>141917.59</v>
      </c>
    </row>
    <row r="74" spans="1:20">
      <c r="A74" t="s">
        <v>40</v>
      </c>
      <c r="B74" s="14">
        <v>45658</v>
      </c>
      <c r="C74" t="s">
        <v>15</v>
      </c>
      <c r="D74">
        <f t="shared" si="6"/>
        <v>0</v>
      </c>
      <c r="E74">
        <f t="shared" si="7"/>
        <v>0</v>
      </c>
      <c r="F74">
        <f t="shared" si="8"/>
        <v>0</v>
      </c>
      <c r="G74" t="s">
        <v>16</v>
      </c>
      <c r="H74">
        <f t="shared" si="9"/>
        <v>0</v>
      </c>
      <c r="I74">
        <f t="shared" si="10"/>
        <v>1</v>
      </c>
      <c r="J74">
        <f t="shared" si="11"/>
        <v>0</v>
      </c>
      <c r="K74">
        <v>46201.46</v>
      </c>
      <c r="L74">
        <v>5918</v>
      </c>
      <c r="M74">
        <v>0.27700000000000002</v>
      </c>
      <c r="N74">
        <v>78.8</v>
      </c>
      <c r="O74">
        <v>13</v>
      </c>
      <c r="P74">
        <v>4.91</v>
      </c>
      <c r="Q74">
        <v>0</v>
      </c>
      <c r="R74">
        <v>4.5</v>
      </c>
      <c r="S74">
        <v>616069.41</v>
      </c>
      <c r="T74">
        <v>54453.99</v>
      </c>
    </row>
    <row r="75" spans="1:20">
      <c r="A75" t="s">
        <v>40</v>
      </c>
      <c r="B75" s="14">
        <v>45689</v>
      </c>
      <c r="C75" t="s">
        <v>15</v>
      </c>
      <c r="D75">
        <f t="shared" si="6"/>
        <v>0</v>
      </c>
      <c r="E75">
        <f t="shared" si="7"/>
        <v>0</v>
      </c>
      <c r="F75">
        <f t="shared" si="8"/>
        <v>0</v>
      </c>
      <c r="G75" t="s">
        <v>16</v>
      </c>
      <c r="H75">
        <f t="shared" si="9"/>
        <v>0</v>
      </c>
      <c r="I75">
        <f t="shared" si="10"/>
        <v>1</v>
      </c>
      <c r="J75">
        <f t="shared" si="11"/>
        <v>0</v>
      </c>
      <c r="K75">
        <v>53762.92</v>
      </c>
      <c r="L75">
        <v>6821</v>
      </c>
      <c r="M75">
        <v>6.6000000000000003E-2</v>
      </c>
      <c r="N75">
        <v>94.6</v>
      </c>
      <c r="O75">
        <v>19</v>
      </c>
      <c r="P75">
        <v>7.03</v>
      </c>
      <c r="Q75">
        <v>0</v>
      </c>
      <c r="R75">
        <v>4.4000000000000004</v>
      </c>
      <c r="S75">
        <v>630829.93999999994</v>
      </c>
      <c r="T75">
        <v>117090.02</v>
      </c>
    </row>
    <row r="76" spans="1:20">
      <c r="A76" t="s">
        <v>40</v>
      </c>
      <c r="B76" s="14">
        <v>45717</v>
      </c>
      <c r="C76" t="s">
        <v>15</v>
      </c>
      <c r="D76">
        <f t="shared" si="6"/>
        <v>0</v>
      </c>
      <c r="E76">
        <f t="shared" si="7"/>
        <v>0</v>
      </c>
      <c r="F76">
        <f t="shared" si="8"/>
        <v>0</v>
      </c>
      <c r="G76" t="s">
        <v>16</v>
      </c>
      <c r="H76">
        <f t="shared" si="9"/>
        <v>0</v>
      </c>
      <c r="I76">
        <f t="shared" si="10"/>
        <v>1</v>
      </c>
      <c r="J76">
        <f t="shared" si="11"/>
        <v>0</v>
      </c>
      <c r="K76">
        <v>70144.78</v>
      </c>
      <c r="L76">
        <v>6806</v>
      </c>
      <c r="M76">
        <v>0.17799999999999999</v>
      </c>
      <c r="N76">
        <v>93.1</v>
      </c>
      <c r="O76">
        <v>20</v>
      </c>
      <c r="P76">
        <v>0.28000000000000003</v>
      </c>
      <c r="Q76">
        <v>1</v>
      </c>
      <c r="R76">
        <v>4.3</v>
      </c>
      <c r="S76">
        <v>788087.68</v>
      </c>
      <c r="T76">
        <v>116803.42</v>
      </c>
    </row>
    <row r="77" spans="1:20">
      <c r="A77" t="s">
        <v>40</v>
      </c>
      <c r="B77" s="14">
        <v>45748</v>
      </c>
      <c r="C77" t="s">
        <v>15</v>
      </c>
      <c r="D77">
        <f t="shared" si="6"/>
        <v>0</v>
      </c>
      <c r="E77">
        <f t="shared" si="7"/>
        <v>0</v>
      </c>
      <c r="F77">
        <f t="shared" si="8"/>
        <v>0</v>
      </c>
      <c r="G77" t="s">
        <v>16</v>
      </c>
      <c r="H77">
        <f t="shared" si="9"/>
        <v>0</v>
      </c>
      <c r="I77">
        <f t="shared" si="10"/>
        <v>1</v>
      </c>
      <c r="J77">
        <f t="shared" si="11"/>
        <v>0</v>
      </c>
      <c r="K77">
        <v>58749.63</v>
      </c>
      <c r="L77">
        <v>8252</v>
      </c>
      <c r="M77">
        <v>0.20300000000000001</v>
      </c>
      <c r="N77">
        <v>85.2</v>
      </c>
      <c r="O77">
        <v>20</v>
      </c>
      <c r="P77">
        <v>3.61</v>
      </c>
      <c r="Q77">
        <v>0</v>
      </c>
      <c r="R77">
        <v>4.5</v>
      </c>
      <c r="S77">
        <v>680840.36</v>
      </c>
      <c r="T77">
        <v>68007.679999999993</v>
      </c>
    </row>
    <row r="78" spans="1:20">
      <c r="A78" t="s">
        <v>41</v>
      </c>
      <c r="B78" s="14">
        <v>45658</v>
      </c>
      <c r="C78" t="s">
        <v>24</v>
      </c>
      <c r="D78">
        <f t="shared" si="6"/>
        <v>0</v>
      </c>
      <c r="E78">
        <f t="shared" si="7"/>
        <v>1</v>
      </c>
      <c r="F78">
        <f t="shared" si="8"/>
        <v>0</v>
      </c>
      <c r="G78" t="s">
        <v>18</v>
      </c>
      <c r="H78">
        <f t="shared" si="9"/>
        <v>1</v>
      </c>
      <c r="I78">
        <f t="shared" si="10"/>
        <v>0</v>
      </c>
      <c r="J78">
        <f t="shared" si="11"/>
        <v>0</v>
      </c>
      <c r="K78">
        <v>56973.18</v>
      </c>
      <c r="L78">
        <v>6662</v>
      </c>
      <c r="M78">
        <v>0.1</v>
      </c>
      <c r="N78">
        <v>77.7</v>
      </c>
      <c r="O78">
        <v>15</v>
      </c>
      <c r="P78">
        <v>7.52</v>
      </c>
      <c r="Q78">
        <v>1</v>
      </c>
      <c r="R78">
        <v>3.2</v>
      </c>
      <c r="S78">
        <v>643657.47</v>
      </c>
      <c r="T78">
        <v>87022.45</v>
      </c>
    </row>
    <row r="79" spans="1:20">
      <c r="A79" t="s">
        <v>41</v>
      </c>
      <c r="B79" s="14">
        <v>45689</v>
      </c>
      <c r="C79" t="s">
        <v>24</v>
      </c>
      <c r="D79">
        <f t="shared" si="6"/>
        <v>0</v>
      </c>
      <c r="E79">
        <f t="shared" si="7"/>
        <v>1</v>
      </c>
      <c r="F79">
        <f t="shared" si="8"/>
        <v>0</v>
      </c>
      <c r="G79" t="s">
        <v>18</v>
      </c>
      <c r="H79">
        <f t="shared" si="9"/>
        <v>1</v>
      </c>
      <c r="I79">
        <f t="shared" si="10"/>
        <v>0</v>
      </c>
      <c r="J79">
        <f t="shared" si="11"/>
        <v>0</v>
      </c>
      <c r="K79">
        <v>54872.82</v>
      </c>
      <c r="L79">
        <v>5962</v>
      </c>
      <c r="M79">
        <v>6.4000000000000001E-2</v>
      </c>
      <c r="N79">
        <v>85.4</v>
      </c>
      <c r="O79">
        <v>12</v>
      </c>
      <c r="P79">
        <v>2.58</v>
      </c>
      <c r="Q79">
        <v>0</v>
      </c>
      <c r="R79">
        <v>2.9</v>
      </c>
      <c r="S79">
        <v>691112.6</v>
      </c>
      <c r="T79">
        <v>109212.83</v>
      </c>
    </row>
    <row r="80" spans="1:20">
      <c r="A80" t="s">
        <v>41</v>
      </c>
      <c r="B80" s="14">
        <v>45717</v>
      </c>
      <c r="C80" t="s">
        <v>24</v>
      </c>
      <c r="D80">
        <f t="shared" si="6"/>
        <v>0</v>
      </c>
      <c r="E80">
        <f t="shared" si="7"/>
        <v>1</v>
      </c>
      <c r="F80">
        <f t="shared" si="8"/>
        <v>0</v>
      </c>
      <c r="G80" t="s">
        <v>18</v>
      </c>
      <c r="H80">
        <f t="shared" si="9"/>
        <v>1</v>
      </c>
      <c r="I80">
        <f t="shared" si="10"/>
        <v>0</v>
      </c>
      <c r="J80">
        <f t="shared" si="11"/>
        <v>0</v>
      </c>
      <c r="K80">
        <v>80562.81</v>
      </c>
      <c r="L80">
        <v>7470</v>
      </c>
      <c r="M80">
        <v>0.17199999999999999</v>
      </c>
      <c r="N80">
        <v>83.5</v>
      </c>
      <c r="O80">
        <v>16</v>
      </c>
      <c r="P80">
        <v>2.29</v>
      </c>
      <c r="Q80">
        <v>0</v>
      </c>
      <c r="R80">
        <v>3.3</v>
      </c>
      <c r="S80">
        <v>776922.17</v>
      </c>
      <c r="T80">
        <v>150701.93</v>
      </c>
    </row>
    <row r="81" spans="1:20">
      <c r="A81" t="s">
        <v>41</v>
      </c>
      <c r="B81" s="14">
        <v>45748</v>
      </c>
      <c r="C81" t="s">
        <v>24</v>
      </c>
      <c r="D81">
        <f t="shared" si="6"/>
        <v>0</v>
      </c>
      <c r="E81">
        <f t="shared" si="7"/>
        <v>1</v>
      </c>
      <c r="F81">
        <f t="shared" si="8"/>
        <v>0</v>
      </c>
      <c r="G81" t="s">
        <v>18</v>
      </c>
      <c r="H81">
        <f t="shared" si="9"/>
        <v>1</v>
      </c>
      <c r="I81">
        <f t="shared" si="10"/>
        <v>0</v>
      </c>
      <c r="J81">
        <f t="shared" si="11"/>
        <v>0</v>
      </c>
      <c r="K81">
        <v>77999.899999999994</v>
      </c>
      <c r="L81">
        <v>5974</v>
      </c>
      <c r="M81">
        <v>0.252</v>
      </c>
      <c r="N81">
        <v>81.3</v>
      </c>
      <c r="O81">
        <v>14</v>
      </c>
      <c r="P81">
        <v>2.39</v>
      </c>
      <c r="Q81">
        <v>0</v>
      </c>
      <c r="R81">
        <v>3.2</v>
      </c>
      <c r="S81">
        <v>636561.34</v>
      </c>
      <c r="T81">
        <v>93861.06</v>
      </c>
    </row>
    <row r="82" spans="1:20">
      <c r="A82" t="s">
        <v>42</v>
      </c>
      <c r="B82" s="14">
        <v>45658</v>
      </c>
      <c r="C82" t="s">
        <v>27</v>
      </c>
      <c r="D82">
        <f t="shared" si="6"/>
        <v>0</v>
      </c>
      <c r="E82">
        <f t="shared" si="7"/>
        <v>0</v>
      </c>
      <c r="F82">
        <f t="shared" si="8"/>
        <v>1</v>
      </c>
      <c r="G82" t="s">
        <v>28</v>
      </c>
      <c r="H82">
        <f t="shared" si="9"/>
        <v>0</v>
      </c>
      <c r="I82">
        <f t="shared" si="10"/>
        <v>0</v>
      </c>
      <c r="J82">
        <f t="shared" si="11"/>
        <v>0</v>
      </c>
      <c r="K82">
        <v>60881.01</v>
      </c>
      <c r="L82">
        <v>5410</v>
      </c>
      <c r="M82">
        <v>0.17899999999999999</v>
      </c>
      <c r="N82">
        <v>83.9</v>
      </c>
      <c r="O82">
        <v>15</v>
      </c>
      <c r="P82">
        <v>5.24</v>
      </c>
      <c r="Q82">
        <v>0</v>
      </c>
      <c r="R82">
        <v>4.5999999999999996</v>
      </c>
      <c r="S82">
        <v>621369.57999999996</v>
      </c>
      <c r="T82">
        <v>85493.64</v>
      </c>
    </row>
    <row r="83" spans="1:20">
      <c r="A83" t="s">
        <v>42</v>
      </c>
      <c r="B83" s="14">
        <v>45689</v>
      </c>
      <c r="C83" t="s">
        <v>27</v>
      </c>
      <c r="D83">
        <f t="shared" si="6"/>
        <v>0</v>
      </c>
      <c r="E83">
        <f t="shared" si="7"/>
        <v>0</v>
      </c>
      <c r="F83">
        <f t="shared" si="8"/>
        <v>1</v>
      </c>
      <c r="G83" t="s">
        <v>28</v>
      </c>
      <c r="H83">
        <f t="shared" si="9"/>
        <v>0</v>
      </c>
      <c r="I83">
        <f t="shared" si="10"/>
        <v>0</v>
      </c>
      <c r="J83">
        <f t="shared" si="11"/>
        <v>0</v>
      </c>
      <c r="K83">
        <v>60628.38</v>
      </c>
      <c r="L83">
        <v>4451</v>
      </c>
      <c r="M83">
        <v>9.5000000000000001E-2</v>
      </c>
      <c r="N83">
        <v>89.6</v>
      </c>
      <c r="O83">
        <v>10</v>
      </c>
      <c r="P83">
        <v>3.17</v>
      </c>
      <c r="Q83">
        <v>0</v>
      </c>
      <c r="R83">
        <v>4.5999999999999996</v>
      </c>
      <c r="S83">
        <v>682208.01</v>
      </c>
      <c r="T83">
        <v>110318.84</v>
      </c>
    </row>
    <row r="84" spans="1:20">
      <c r="A84" t="s">
        <v>42</v>
      </c>
      <c r="B84" s="14">
        <v>45717</v>
      </c>
      <c r="C84" t="s">
        <v>27</v>
      </c>
      <c r="D84">
        <f t="shared" si="6"/>
        <v>0</v>
      </c>
      <c r="E84">
        <f t="shared" si="7"/>
        <v>0</v>
      </c>
      <c r="F84">
        <f t="shared" si="8"/>
        <v>1</v>
      </c>
      <c r="G84" t="s">
        <v>28</v>
      </c>
      <c r="H84">
        <f t="shared" si="9"/>
        <v>0</v>
      </c>
      <c r="I84">
        <f t="shared" si="10"/>
        <v>0</v>
      </c>
      <c r="J84">
        <f t="shared" si="11"/>
        <v>0</v>
      </c>
      <c r="K84">
        <v>72731.14</v>
      </c>
      <c r="L84">
        <v>4644</v>
      </c>
      <c r="M84">
        <v>8.4000000000000005E-2</v>
      </c>
      <c r="N84">
        <v>87.1</v>
      </c>
      <c r="O84">
        <v>15</v>
      </c>
      <c r="P84">
        <v>2.66</v>
      </c>
      <c r="Q84">
        <v>0</v>
      </c>
      <c r="R84">
        <v>4.5999999999999996</v>
      </c>
      <c r="S84">
        <v>727241.86</v>
      </c>
      <c r="T84">
        <v>155810.29999999999</v>
      </c>
    </row>
    <row r="85" spans="1:20">
      <c r="A85" t="s">
        <v>42</v>
      </c>
      <c r="B85" s="14">
        <v>45748</v>
      </c>
      <c r="C85" t="s">
        <v>27</v>
      </c>
      <c r="D85">
        <f t="shared" si="6"/>
        <v>0</v>
      </c>
      <c r="E85">
        <f t="shared" si="7"/>
        <v>0</v>
      </c>
      <c r="F85">
        <f t="shared" si="8"/>
        <v>1</v>
      </c>
      <c r="G85" t="s">
        <v>28</v>
      </c>
      <c r="H85">
        <f t="shared" si="9"/>
        <v>0</v>
      </c>
      <c r="I85">
        <f t="shared" si="10"/>
        <v>0</v>
      </c>
      <c r="J85">
        <f t="shared" si="11"/>
        <v>0</v>
      </c>
      <c r="K85">
        <v>36475.71</v>
      </c>
      <c r="L85">
        <v>3559</v>
      </c>
      <c r="M85">
        <v>0.03</v>
      </c>
      <c r="N85">
        <v>83.6</v>
      </c>
      <c r="O85">
        <v>8</v>
      </c>
      <c r="P85">
        <v>1.41</v>
      </c>
      <c r="Q85">
        <v>0</v>
      </c>
      <c r="R85">
        <v>4.2</v>
      </c>
      <c r="S85">
        <v>569100.78</v>
      </c>
      <c r="T85">
        <v>104808.78</v>
      </c>
    </row>
    <row r="86" spans="1:20">
      <c r="A86" t="s">
        <v>43</v>
      </c>
      <c r="B86" s="14">
        <v>45658</v>
      </c>
      <c r="C86" t="s">
        <v>27</v>
      </c>
      <c r="D86">
        <f t="shared" si="6"/>
        <v>0</v>
      </c>
      <c r="E86">
        <f t="shared" si="7"/>
        <v>0</v>
      </c>
      <c r="F86">
        <f t="shared" si="8"/>
        <v>1</v>
      </c>
      <c r="G86" t="s">
        <v>18</v>
      </c>
      <c r="H86">
        <f t="shared" si="9"/>
        <v>1</v>
      </c>
      <c r="I86">
        <f t="shared" si="10"/>
        <v>0</v>
      </c>
      <c r="J86">
        <f t="shared" si="11"/>
        <v>0</v>
      </c>
      <c r="K86">
        <v>55388.11</v>
      </c>
      <c r="L86">
        <v>3091</v>
      </c>
      <c r="M86">
        <v>0.108</v>
      </c>
      <c r="N86">
        <v>85.4</v>
      </c>
      <c r="O86">
        <v>7</v>
      </c>
      <c r="P86">
        <v>7.34</v>
      </c>
      <c r="Q86">
        <v>0</v>
      </c>
      <c r="R86">
        <v>4.9000000000000004</v>
      </c>
      <c r="S86">
        <v>574436.29</v>
      </c>
      <c r="T86">
        <v>80271.990000000005</v>
      </c>
    </row>
    <row r="87" spans="1:20">
      <c r="A87" t="s">
        <v>43</v>
      </c>
      <c r="B87" s="14">
        <v>45689</v>
      </c>
      <c r="C87" t="s">
        <v>27</v>
      </c>
      <c r="D87">
        <f t="shared" si="6"/>
        <v>0</v>
      </c>
      <c r="E87">
        <f t="shared" si="7"/>
        <v>0</v>
      </c>
      <c r="F87">
        <f t="shared" si="8"/>
        <v>1</v>
      </c>
      <c r="G87" t="s">
        <v>18</v>
      </c>
      <c r="H87">
        <f t="shared" si="9"/>
        <v>1</v>
      </c>
      <c r="I87">
        <f t="shared" si="10"/>
        <v>0</v>
      </c>
      <c r="J87">
        <f t="shared" si="11"/>
        <v>0</v>
      </c>
      <c r="K87">
        <v>88443.77</v>
      </c>
      <c r="L87">
        <v>4004</v>
      </c>
      <c r="M87">
        <v>0.20599999999999999</v>
      </c>
      <c r="N87">
        <v>91.9</v>
      </c>
      <c r="O87">
        <v>11</v>
      </c>
      <c r="P87">
        <v>5.95</v>
      </c>
      <c r="Q87">
        <v>0</v>
      </c>
      <c r="R87">
        <v>3.92</v>
      </c>
      <c r="S87">
        <v>611766.72</v>
      </c>
      <c r="T87">
        <v>88275.61</v>
      </c>
    </row>
    <row r="88" spans="1:20">
      <c r="A88" t="s">
        <v>43</v>
      </c>
      <c r="B88" s="14">
        <v>45717</v>
      </c>
      <c r="C88" t="s">
        <v>27</v>
      </c>
      <c r="D88">
        <f t="shared" si="6"/>
        <v>0</v>
      </c>
      <c r="E88">
        <f t="shared" si="7"/>
        <v>0</v>
      </c>
      <c r="F88">
        <f t="shared" si="8"/>
        <v>1</v>
      </c>
      <c r="G88" t="s">
        <v>18</v>
      </c>
      <c r="H88">
        <f t="shared" si="9"/>
        <v>1</v>
      </c>
      <c r="I88">
        <f t="shared" si="10"/>
        <v>0</v>
      </c>
      <c r="J88">
        <f t="shared" si="11"/>
        <v>0</v>
      </c>
      <c r="K88">
        <v>78231.91</v>
      </c>
      <c r="L88">
        <v>3788</v>
      </c>
      <c r="M88">
        <v>5.8999999999999997E-2</v>
      </c>
      <c r="N88">
        <v>88.5</v>
      </c>
      <c r="O88">
        <v>11</v>
      </c>
      <c r="P88">
        <v>15.51</v>
      </c>
      <c r="Q88">
        <v>0</v>
      </c>
      <c r="R88">
        <v>4.3</v>
      </c>
      <c r="S88">
        <v>614596.31999999995</v>
      </c>
      <c r="T88">
        <v>131199.41</v>
      </c>
    </row>
    <row r="89" spans="1:20">
      <c r="A89" t="s">
        <v>43</v>
      </c>
      <c r="B89" s="14">
        <v>45748</v>
      </c>
      <c r="C89" t="s">
        <v>27</v>
      </c>
      <c r="D89">
        <f t="shared" si="6"/>
        <v>0</v>
      </c>
      <c r="E89">
        <f t="shared" si="7"/>
        <v>0</v>
      </c>
      <c r="F89">
        <f t="shared" si="8"/>
        <v>1</v>
      </c>
      <c r="G89" t="s">
        <v>18</v>
      </c>
      <c r="H89">
        <f t="shared" si="9"/>
        <v>1</v>
      </c>
      <c r="I89">
        <f t="shared" si="10"/>
        <v>0</v>
      </c>
      <c r="J89">
        <f t="shared" si="11"/>
        <v>0</v>
      </c>
      <c r="K89">
        <v>18996.32</v>
      </c>
      <c r="L89">
        <v>1260</v>
      </c>
      <c r="M89">
        <v>0.14499999999999999</v>
      </c>
      <c r="N89">
        <v>86.4</v>
      </c>
      <c r="O89">
        <v>9</v>
      </c>
      <c r="P89">
        <v>4.3099999999999996</v>
      </c>
      <c r="Q89">
        <v>0</v>
      </c>
      <c r="R89">
        <v>4.5999999999999996</v>
      </c>
      <c r="S89">
        <v>450711.92</v>
      </c>
      <c r="T89">
        <v>90043.76</v>
      </c>
    </row>
    <row r="90" spans="1:20">
      <c r="A90" t="s">
        <v>44</v>
      </c>
      <c r="B90" s="14">
        <v>45658</v>
      </c>
      <c r="C90" t="s">
        <v>24</v>
      </c>
      <c r="D90">
        <f t="shared" si="6"/>
        <v>0</v>
      </c>
      <c r="E90">
        <f t="shared" si="7"/>
        <v>1</v>
      </c>
      <c r="F90">
        <f t="shared" si="8"/>
        <v>0</v>
      </c>
      <c r="G90" t="s">
        <v>28</v>
      </c>
      <c r="H90">
        <f t="shared" si="9"/>
        <v>0</v>
      </c>
      <c r="I90">
        <f t="shared" si="10"/>
        <v>0</v>
      </c>
      <c r="J90">
        <f t="shared" si="11"/>
        <v>0</v>
      </c>
      <c r="K90">
        <v>50517.94</v>
      </c>
      <c r="L90">
        <v>7024</v>
      </c>
      <c r="M90">
        <v>2.9000000000000001E-2</v>
      </c>
      <c r="N90">
        <v>79.2</v>
      </c>
      <c r="O90">
        <v>18</v>
      </c>
      <c r="P90">
        <v>6.61</v>
      </c>
      <c r="Q90">
        <v>1</v>
      </c>
      <c r="R90">
        <v>4.0999999999999996</v>
      </c>
      <c r="S90">
        <v>711213.46</v>
      </c>
      <c r="T90">
        <v>105863.26</v>
      </c>
    </row>
    <row r="91" spans="1:20">
      <c r="A91" t="s">
        <v>44</v>
      </c>
      <c r="B91" s="14">
        <v>45689</v>
      </c>
      <c r="C91" t="s">
        <v>24</v>
      </c>
      <c r="D91">
        <f t="shared" si="6"/>
        <v>0</v>
      </c>
      <c r="E91">
        <f t="shared" si="7"/>
        <v>1</v>
      </c>
      <c r="F91">
        <f t="shared" si="8"/>
        <v>0</v>
      </c>
      <c r="G91" t="s">
        <v>28</v>
      </c>
      <c r="H91">
        <f t="shared" si="9"/>
        <v>0</v>
      </c>
      <c r="I91">
        <f t="shared" si="10"/>
        <v>0</v>
      </c>
      <c r="J91">
        <f t="shared" si="11"/>
        <v>0</v>
      </c>
      <c r="K91">
        <v>141540.29</v>
      </c>
      <c r="L91">
        <v>5400</v>
      </c>
      <c r="M91">
        <v>1.2999999999999999E-2</v>
      </c>
      <c r="N91">
        <v>87</v>
      </c>
      <c r="O91">
        <v>12</v>
      </c>
      <c r="P91">
        <v>4.26</v>
      </c>
      <c r="Q91">
        <v>0</v>
      </c>
      <c r="R91">
        <v>4.5</v>
      </c>
      <c r="S91">
        <v>627171.9</v>
      </c>
      <c r="T91">
        <v>105772.75</v>
      </c>
    </row>
    <row r="92" spans="1:20">
      <c r="A92" t="s">
        <v>44</v>
      </c>
      <c r="B92" s="14">
        <v>45717</v>
      </c>
      <c r="C92" t="s">
        <v>24</v>
      </c>
      <c r="D92">
        <f t="shared" si="6"/>
        <v>0</v>
      </c>
      <c r="E92">
        <f t="shared" si="7"/>
        <v>1</v>
      </c>
      <c r="F92">
        <f t="shared" si="8"/>
        <v>0</v>
      </c>
      <c r="G92" t="s">
        <v>28</v>
      </c>
      <c r="H92">
        <f t="shared" si="9"/>
        <v>0</v>
      </c>
      <c r="I92">
        <f t="shared" si="10"/>
        <v>0</v>
      </c>
      <c r="J92">
        <f t="shared" si="11"/>
        <v>0</v>
      </c>
      <c r="K92">
        <v>82116.19</v>
      </c>
      <c r="L92">
        <v>5988</v>
      </c>
      <c r="M92">
        <v>0.04</v>
      </c>
      <c r="N92">
        <v>91.8</v>
      </c>
      <c r="O92">
        <v>17</v>
      </c>
      <c r="P92">
        <v>5.75</v>
      </c>
      <c r="Q92">
        <v>0</v>
      </c>
      <c r="R92">
        <v>4.7</v>
      </c>
      <c r="S92">
        <v>739852.58</v>
      </c>
      <c r="T92">
        <v>129386.43</v>
      </c>
    </row>
    <row r="93" spans="1:20">
      <c r="A93" t="s">
        <v>44</v>
      </c>
      <c r="B93" s="14">
        <v>45748</v>
      </c>
      <c r="C93" t="s">
        <v>24</v>
      </c>
      <c r="D93">
        <f t="shared" si="6"/>
        <v>0</v>
      </c>
      <c r="E93">
        <f t="shared" si="7"/>
        <v>1</v>
      </c>
      <c r="F93">
        <f t="shared" si="8"/>
        <v>0</v>
      </c>
      <c r="G93" t="s">
        <v>28</v>
      </c>
      <c r="H93">
        <f t="shared" si="9"/>
        <v>0</v>
      </c>
      <c r="I93">
        <f t="shared" si="10"/>
        <v>0</v>
      </c>
      <c r="J93">
        <f t="shared" si="11"/>
        <v>0</v>
      </c>
      <c r="K93">
        <v>31207.51</v>
      </c>
      <c r="L93">
        <v>3701</v>
      </c>
      <c r="M93">
        <v>4.2999999999999997E-2</v>
      </c>
      <c r="N93">
        <v>84.7</v>
      </c>
      <c r="O93">
        <v>11</v>
      </c>
      <c r="P93">
        <v>0.33</v>
      </c>
      <c r="Q93">
        <v>0</v>
      </c>
      <c r="R93">
        <v>4.3</v>
      </c>
      <c r="S93">
        <v>586307.22</v>
      </c>
      <c r="T93">
        <v>73927.850000000006</v>
      </c>
    </row>
    <row r="94" spans="1:20">
      <c r="A94" t="s">
        <v>45</v>
      </c>
      <c r="B94" s="14">
        <v>45658</v>
      </c>
      <c r="C94" t="s">
        <v>27</v>
      </c>
      <c r="D94">
        <f t="shared" si="6"/>
        <v>0</v>
      </c>
      <c r="E94">
        <f t="shared" si="7"/>
        <v>0</v>
      </c>
      <c r="F94">
        <f t="shared" si="8"/>
        <v>1</v>
      </c>
      <c r="G94" t="s">
        <v>16</v>
      </c>
      <c r="H94">
        <f t="shared" si="9"/>
        <v>0</v>
      </c>
      <c r="I94">
        <f t="shared" si="10"/>
        <v>1</v>
      </c>
      <c r="J94">
        <f t="shared" si="11"/>
        <v>0</v>
      </c>
      <c r="K94">
        <v>38966.589999999997</v>
      </c>
      <c r="L94">
        <v>4509</v>
      </c>
      <c r="M94">
        <v>0.19400000000000001</v>
      </c>
      <c r="N94">
        <v>91.1</v>
      </c>
      <c r="O94">
        <v>14</v>
      </c>
      <c r="P94">
        <v>2.92</v>
      </c>
      <c r="Q94">
        <v>0</v>
      </c>
      <c r="R94">
        <v>4.5999999999999996</v>
      </c>
      <c r="S94">
        <v>585937.48</v>
      </c>
      <c r="T94">
        <v>82624.2</v>
      </c>
    </row>
    <row r="95" spans="1:20">
      <c r="A95" t="s">
        <v>45</v>
      </c>
      <c r="B95" s="14">
        <v>45689</v>
      </c>
      <c r="C95" t="s">
        <v>27</v>
      </c>
      <c r="D95">
        <f t="shared" si="6"/>
        <v>0</v>
      </c>
      <c r="E95">
        <f t="shared" si="7"/>
        <v>0</v>
      </c>
      <c r="F95">
        <f t="shared" si="8"/>
        <v>1</v>
      </c>
      <c r="G95" t="s">
        <v>16</v>
      </c>
      <c r="H95">
        <f t="shared" si="9"/>
        <v>0</v>
      </c>
      <c r="I95">
        <f t="shared" si="10"/>
        <v>1</v>
      </c>
      <c r="J95">
        <f t="shared" si="11"/>
        <v>0</v>
      </c>
      <c r="K95">
        <v>67439.3</v>
      </c>
      <c r="L95">
        <v>6477</v>
      </c>
      <c r="M95">
        <v>0</v>
      </c>
      <c r="N95">
        <v>90.9</v>
      </c>
      <c r="O95">
        <v>16</v>
      </c>
      <c r="P95">
        <v>1.64</v>
      </c>
      <c r="Q95">
        <v>0</v>
      </c>
      <c r="R95">
        <v>4.5</v>
      </c>
      <c r="S95">
        <v>753473.55</v>
      </c>
      <c r="T95">
        <v>151527.22</v>
      </c>
    </row>
    <row r="96" spans="1:20">
      <c r="A96" t="s">
        <v>45</v>
      </c>
      <c r="B96" s="14">
        <v>45717</v>
      </c>
      <c r="C96" t="s">
        <v>27</v>
      </c>
      <c r="D96">
        <f t="shared" si="6"/>
        <v>0</v>
      </c>
      <c r="E96">
        <f t="shared" si="7"/>
        <v>0</v>
      </c>
      <c r="F96">
        <f t="shared" si="8"/>
        <v>1</v>
      </c>
      <c r="G96" t="s">
        <v>16</v>
      </c>
      <c r="H96">
        <f t="shared" si="9"/>
        <v>0</v>
      </c>
      <c r="I96">
        <f t="shared" si="10"/>
        <v>1</v>
      </c>
      <c r="J96">
        <f t="shared" si="11"/>
        <v>0</v>
      </c>
      <c r="K96">
        <v>86421.88</v>
      </c>
      <c r="L96">
        <v>7970</v>
      </c>
      <c r="M96">
        <v>7.2999999999999995E-2</v>
      </c>
      <c r="N96">
        <v>91.3</v>
      </c>
      <c r="O96">
        <v>17</v>
      </c>
      <c r="P96">
        <v>0.8</v>
      </c>
      <c r="Q96">
        <v>0</v>
      </c>
      <c r="R96">
        <v>5</v>
      </c>
      <c r="S96">
        <v>838250.32</v>
      </c>
      <c r="T96">
        <v>122939.34</v>
      </c>
    </row>
    <row r="97" spans="1:20">
      <c r="A97" t="s">
        <v>45</v>
      </c>
      <c r="B97" s="14">
        <v>45748</v>
      </c>
      <c r="C97" t="s">
        <v>27</v>
      </c>
      <c r="D97">
        <f t="shared" si="6"/>
        <v>0</v>
      </c>
      <c r="E97">
        <f t="shared" si="7"/>
        <v>0</v>
      </c>
      <c r="F97">
        <f t="shared" si="8"/>
        <v>1</v>
      </c>
      <c r="G97" t="s">
        <v>16</v>
      </c>
      <c r="H97">
        <f t="shared" si="9"/>
        <v>0</v>
      </c>
      <c r="I97">
        <f t="shared" si="10"/>
        <v>1</v>
      </c>
      <c r="J97">
        <f t="shared" si="11"/>
        <v>0</v>
      </c>
      <c r="K97">
        <v>9534.65</v>
      </c>
      <c r="L97">
        <v>6057</v>
      </c>
      <c r="M97">
        <v>7.3999999999999996E-2</v>
      </c>
      <c r="N97">
        <v>94.1</v>
      </c>
      <c r="O97">
        <v>15</v>
      </c>
      <c r="P97">
        <v>5.79</v>
      </c>
      <c r="Q97">
        <v>0</v>
      </c>
      <c r="R97">
        <v>4.5</v>
      </c>
      <c r="S97">
        <v>607898.12</v>
      </c>
      <c r="T97">
        <v>135404.85</v>
      </c>
    </row>
    <row r="98" spans="1:20">
      <c r="A98" t="s">
        <v>46</v>
      </c>
      <c r="B98" s="14">
        <v>45658</v>
      </c>
      <c r="C98" t="s">
        <v>27</v>
      </c>
      <c r="D98">
        <f t="shared" si="6"/>
        <v>0</v>
      </c>
      <c r="E98">
        <f t="shared" si="7"/>
        <v>0</v>
      </c>
      <c r="F98">
        <f t="shared" si="8"/>
        <v>1</v>
      </c>
      <c r="G98" t="s">
        <v>28</v>
      </c>
      <c r="H98">
        <f t="shared" si="9"/>
        <v>0</v>
      </c>
      <c r="I98">
        <f t="shared" si="10"/>
        <v>0</v>
      </c>
      <c r="J98">
        <f t="shared" si="11"/>
        <v>0</v>
      </c>
      <c r="K98">
        <v>61132.07</v>
      </c>
      <c r="L98">
        <v>6394</v>
      </c>
      <c r="M98">
        <v>0.16300000000000001</v>
      </c>
      <c r="N98">
        <v>91</v>
      </c>
      <c r="O98">
        <v>19</v>
      </c>
      <c r="P98">
        <v>19.600000000000001</v>
      </c>
      <c r="Q98">
        <v>0</v>
      </c>
      <c r="R98">
        <v>4.4000000000000004</v>
      </c>
      <c r="S98">
        <v>691113.62</v>
      </c>
      <c r="T98">
        <v>135145.44</v>
      </c>
    </row>
    <row r="99" spans="1:20">
      <c r="A99" t="s">
        <v>46</v>
      </c>
      <c r="B99" s="14">
        <v>45689</v>
      </c>
      <c r="C99" t="s">
        <v>27</v>
      </c>
      <c r="D99">
        <f t="shared" si="6"/>
        <v>0</v>
      </c>
      <c r="E99">
        <f t="shared" si="7"/>
        <v>0</v>
      </c>
      <c r="F99">
        <f t="shared" si="8"/>
        <v>1</v>
      </c>
      <c r="G99" t="s">
        <v>28</v>
      </c>
      <c r="H99">
        <f t="shared" si="9"/>
        <v>0</v>
      </c>
      <c r="I99">
        <f t="shared" si="10"/>
        <v>0</v>
      </c>
      <c r="J99">
        <f t="shared" si="11"/>
        <v>0</v>
      </c>
      <c r="K99">
        <v>78839.39</v>
      </c>
      <c r="L99">
        <v>5150</v>
      </c>
      <c r="M99">
        <v>0.17100000000000001</v>
      </c>
      <c r="N99">
        <v>85.8</v>
      </c>
      <c r="O99">
        <v>13</v>
      </c>
      <c r="P99">
        <v>7.57</v>
      </c>
      <c r="Q99">
        <v>0</v>
      </c>
      <c r="R99">
        <v>4.3</v>
      </c>
      <c r="S99">
        <v>735509.4</v>
      </c>
      <c r="T99">
        <v>83895.96</v>
      </c>
    </row>
    <row r="100" spans="1:20">
      <c r="A100" t="s">
        <v>46</v>
      </c>
      <c r="B100" s="14">
        <v>45717</v>
      </c>
      <c r="C100" t="s">
        <v>27</v>
      </c>
      <c r="D100">
        <f t="shared" si="6"/>
        <v>0</v>
      </c>
      <c r="E100">
        <f t="shared" si="7"/>
        <v>0</v>
      </c>
      <c r="F100">
        <f t="shared" si="8"/>
        <v>1</v>
      </c>
      <c r="G100" t="s">
        <v>28</v>
      </c>
      <c r="H100">
        <f t="shared" si="9"/>
        <v>0</v>
      </c>
      <c r="I100">
        <f t="shared" si="10"/>
        <v>0</v>
      </c>
      <c r="J100">
        <f t="shared" si="11"/>
        <v>0</v>
      </c>
      <c r="K100">
        <v>38752.800000000003</v>
      </c>
      <c r="L100">
        <v>4712</v>
      </c>
      <c r="M100">
        <v>7.4999999999999997E-2</v>
      </c>
      <c r="N100">
        <v>89.7</v>
      </c>
      <c r="O100">
        <v>15</v>
      </c>
      <c r="P100">
        <v>3.3650000000000002</v>
      </c>
      <c r="Q100">
        <v>0</v>
      </c>
      <c r="R100">
        <v>4.3</v>
      </c>
      <c r="S100">
        <v>605775.32999999996</v>
      </c>
      <c r="T100">
        <v>107194.6</v>
      </c>
    </row>
    <row r="101" spans="1:20">
      <c r="A101" t="s">
        <v>46</v>
      </c>
      <c r="B101" s="14">
        <v>45748</v>
      </c>
      <c r="C101" t="s">
        <v>27</v>
      </c>
      <c r="D101">
        <f t="shared" si="6"/>
        <v>0</v>
      </c>
      <c r="E101">
        <f t="shared" si="7"/>
        <v>0</v>
      </c>
      <c r="F101">
        <f t="shared" si="8"/>
        <v>1</v>
      </c>
      <c r="G101" t="s">
        <v>28</v>
      </c>
      <c r="H101">
        <f t="shared" si="9"/>
        <v>0</v>
      </c>
      <c r="I101">
        <f t="shared" si="10"/>
        <v>0</v>
      </c>
      <c r="J101">
        <f t="shared" si="11"/>
        <v>0</v>
      </c>
      <c r="K101">
        <v>55101.1</v>
      </c>
      <c r="L101">
        <v>5281</v>
      </c>
      <c r="M101">
        <v>0.189</v>
      </c>
      <c r="N101">
        <v>91</v>
      </c>
      <c r="O101">
        <v>11</v>
      </c>
      <c r="P101">
        <v>2.7</v>
      </c>
      <c r="Q101">
        <v>0</v>
      </c>
      <c r="R101">
        <v>4.4000000000000004</v>
      </c>
      <c r="S101">
        <v>675177.68</v>
      </c>
      <c r="T101">
        <v>105628.68</v>
      </c>
    </row>
    <row r="102" spans="1:20">
      <c r="A102" t="s">
        <v>47</v>
      </c>
      <c r="B102" s="14">
        <v>45658</v>
      </c>
      <c r="C102" t="s">
        <v>15</v>
      </c>
      <c r="D102">
        <f t="shared" si="6"/>
        <v>0</v>
      </c>
      <c r="E102">
        <f t="shared" si="7"/>
        <v>0</v>
      </c>
      <c r="F102">
        <f t="shared" si="8"/>
        <v>0</v>
      </c>
      <c r="G102" t="s">
        <v>28</v>
      </c>
      <c r="H102">
        <f t="shared" si="9"/>
        <v>0</v>
      </c>
      <c r="I102">
        <f t="shared" si="10"/>
        <v>0</v>
      </c>
      <c r="J102">
        <f t="shared" si="11"/>
        <v>0</v>
      </c>
      <c r="K102">
        <v>53084.76</v>
      </c>
      <c r="L102">
        <v>3642</v>
      </c>
      <c r="M102">
        <v>0.15</v>
      </c>
      <c r="N102">
        <v>91.4</v>
      </c>
      <c r="O102">
        <v>12</v>
      </c>
      <c r="P102">
        <v>0.2</v>
      </c>
      <c r="Q102">
        <v>0</v>
      </c>
      <c r="R102">
        <v>4.4000000000000004</v>
      </c>
      <c r="S102">
        <v>635181.35</v>
      </c>
      <c r="T102">
        <v>83341.25</v>
      </c>
    </row>
    <row r="103" spans="1:20">
      <c r="A103" t="s">
        <v>47</v>
      </c>
      <c r="B103" s="14">
        <v>45689</v>
      </c>
      <c r="C103" t="s">
        <v>15</v>
      </c>
      <c r="D103">
        <f t="shared" si="6"/>
        <v>0</v>
      </c>
      <c r="E103">
        <f t="shared" si="7"/>
        <v>0</v>
      </c>
      <c r="F103">
        <f t="shared" si="8"/>
        <v>0</v>
      </c>
      <c r="G103" t="s">
        <v>28</v>
      </c>
      <c r="H103">
        <f t="shared" si="9"/>
        <v>0</v>
      </c>
      <c r="I103">
        <f t="shared" si="10"/>
        <v>0</v>
      </c>
      <c r="J103">
        <f t="shared" si="11"/>
        <v>0</v>
      </c>
      <c r="K103">
        <v>63101.59</v>
      </c>
      <c r="L103">
        <v>4373</v>
      </c>
      <c r="M103">
        <v>0.17299999999999999</v>
      </c>
      <c r="N103">
        <v>90.4</v>
      </c>
      <c r="O103">
        <v>14</v>
      </c>
      <c r="P103">
        <v>7.87</v>
      </c>
      <c r="Q103">
        <v>0</v>
      </c>
      <c r="R103">
        <v>4.7</v>
      </c>
      <c r="S103">
        <v>586626.93999999994</v>
      </c>
      <c r="T103">
        <v>86498.55</v>
      </c>
    </row>
    <row r="104" spans="1:20">
      <c r="A104" t="s">
        <v>47</v>
      </c>
      <c r="B104" s="14">
        <v>45717</v>
      </c>
      <c r="C104" t="s">
        <v>15</v>
      </c>
      <c r="D104">
        <f t="shared" si="6"/>
        <v>0</v>
      </c>
      <c r="E104">
        <f t="shared" si="7"/>
        <v>0</v>
      </c>
      <c r="F104">
        <f t="shared" si="8"/>
        <v>0</v>
      </c>
      <c r="G104" t="s">
        <v>28</v>
      </c>
      <c r="H104">
        <f t="shared" si="9"/>
        <v>0</v>
      </c>
      <c r="I104">
        <f t="shared" si="10"/>
        <v>0</v>
      </c>
      <c r="J104">
        <f t="shared" si="11"/>
        <v>0</v>
      </c>
      <c r="K104">
        <v>90084.4</v>
      </c>
      <c r="L104">
        <v>6832</v>
      </c>
      <c r="M104">
        <v>0.185</v>
      </c>
      <c r="N104">
        <v>80.5</v>
      </c>
      <c r="O104">
        <v>14</v>
      </c>
      <c r="P104">
        <v>0.77</v>
      </c>
      <c r="Q104">
        <v>1</v>
      </c>
      <c r="R104">
        <v>4.4000000000000004</v>
      </c>
      <c r="S104">
        <v>740102.64</v>
      </c>
      <c r="T104">
        <v>114299.07</v>
      </c>
    </row>
    <row r="105" spans="1:20">
      <c r="A105" t="s">
        <v>47</v>
      </c>
      <c r="B105" s="14">
        <v>45748</v>
      </c>
      <c r="C105" t="s">
        <v>15</v>
      </c>
      <c r="D105">
        <f t="shared" si="6"/>
        <v>0</v>
      </c>
      <c r="E105">
        <f t="shared" si="7"/>
        <v>0</v>
      </c>
      <c r="F105">
        <f t="shared" si="8"/>
        <v>0</v>
      </c>
      <c r="G105" t="s">
        <v>28</v>
      </c>
      <c r="H105">
        <f t="shared" si="9"/>
        <v>0</v>
      </c>
      <c r="I105">
        <f t="shared" si="10"/>
        <v>0</v>
      </c>
      <c r="J105">
        <f t="shared" si="11"/>
        <v>0</v>
      </c>
      <c r="K105">
        <v>32266.639999999999</v>
      </c>
      <c r="L105">
        <v>2414</v>
      </c>
      <c r="M105">
        <v>0.08</v>
      </c>
      <c r="N105">
        <v>92.1</v>
      </c>
      <c r="O105">
        <v>7</v>
      </c>
      <c r="P105">
        <v>1.48</v>
      </c>
      <c r="Q105">
        <v>0</v>
      </c>
      <c r="R105">
        <v>5</v>
      </c>
      <c r="S105">
        <v>625514.04</v>
      </c>
      <c r="T105">
        <v>120685.08</v>
      </c>
    </row>
    <row r="106" spans="1:20">
      <c r="A106" t="s">
        <v>48</v>
      </c>
      <c r="B106" s="14">
        <v>45658</v>
      </c>
      <c r="C106" t="s">
        <v>27</v>
      </c>
      <c r="D106">
        <f t="shared" si="6"/>
        <v>0</v>
      </c>
      <c r="E106">
        <f t="shared" si="7"/>
        <v>0</v>
      </c>
      <c r="F106">
        <f t="shared" si="8"/>
        <v>1</v>
      </c>
      <c r="G106" t="s">
        <v>18</v>
      </c>
      <c r="H106">
        <f t="shared" si="9"/>
        <v>1</v>
      </c>
      <c r="I106">
        <f t="shared" si="10"/>
        <v>0</v>
      </c>
      <c r="J106">
        <f t="shared" si="11"/>
        <v>0</v>
      </c>
      <c r="K106">
        <v>57919.07</v>
      </c>
      <c r="L106">
        <v>7374</v>
      </c>
      <c r="M106">
        <v>0.10299999999999999</v>
      </c>
      <c r="N106">
        <v>82.3</v>
      </c>
      <c r="O106">
        <v>21</v>
      </c>
      <c r="P106">
        <v>2.87</v>
      </c>
      <c r="Q106">
        <v>0</v>
      </c>
      <c r="R106">
        <v>2.9</v>
      </c>
      <c r="S106">
        <v>727227.2</v>
      </c>
      <c r="T106">
        <v>121292.01</v>
      </c>
    </row>
    <row r="107" spans="1:20">
      <c r="A107" t="s">
        <v>48</v>
      </c>
      <c r="B107" s="14">
        <v>45689</v>
      </c>
      <c r="C107" t="s">
        <v>27</v>
      </c>
      <c r="D107">
        <f t="shared" si="6"/>
        <v>0</v>
      </c>
      <c r="E107">
        <f t="shared" si="7"/>
        <v>0</v>
      </c>
      <c r="F107">
        <f t="shared" si="8"/>
        <v>1</v>
      </c>
      <c r="G107" t="s">
        <v>18</v>
      </c>
      <c r="H107">
        <f t="shared" si="9"/>
        <v>1</v>
      </c>
      <c r="I107">
        <f t="shared" si="10"/>
        <v>0</v>
      </c>
      <c r="J107">
        <f t="shared" si="11"/>
        <v>0</v>
      </c>
      <c r="K107">
        <v>74679.350000000006</v>
      </c>
      <c r="L107">
        <v>8739</v>
      </c>
      <c r="M107">
        <v>5.6000000000000001E-2</v>
      </c>
      <c r="N107">
        <v>91.8</v>
      </c>
      <c r="O107">
        <v>21</v>
      </c>
      <c r="P107">
        <v>2.83</v>
      </c>
      <c r="Q107">
        <v>0</v>
      </c>
      <c r="R107">
        <v>3</v>
      </c>
      <c r="S107">
        <v>783797.89</v>
      </c>
      <c r="T107">
        <v>157620.70000000001</v>
      </c>
    </row>
    <row r="108" spans="1:20">
      <c r="A108" t="s">
        <v>48</v>
      </c>
      <c r="B108" s="14">
        <v>45717</v>
      </c>
      <c r="C108" t="s">
        <v>27</v>
      </c>
      <c r="D108">
        <f t="shared" si="6"/>
        <v>0</v>
      </c>
      <c r="E108">
        <f t="shared" si="7"/>
        <v>0</v>
      </c>
      <c r="F108">
        <f t="shared" si="8"/>
        <v>1</v>
      </c>
      <c r="G108" t="s">
        <v>18</v>
      </c>
      <c r="H108">
        <f t="shared" si="9"/>
        <v>1</v>
      </c>
      <c r="I108">
        <f t="shared" si="10"/>
        <v>0</v>
      </c>
      <c r="J108">
        <f t="shared" si="11"/>
        <v>0</v>
      </c>
      <c r="K108">
        <v>64294.23</v>
      </c>
      <c r="L108">
        <v>6992</v>
      </c>
      <c r="M108">
        <v>0.13300000000000001</v>
      </c>
      <c r="N108">
        <v>94.1</v>
      </c>
      <c r="O108">
        <v>14</v>
      </c>
      <c r="P108">
        <v>0.25</v>
      </c>
      <c r="Q108">
        <v>0</v>
      </c>
      <c r="R108">
        <v>3</v>
      </c>
      <c r="S108">
        <v>795153.84</v>
      </c>
      <c r="T108">
        <v>143194.21</v>
      </c>
    </row>
    <row r="109" spans="1:20">
      <c r="A109" t="s">
        <v>48</v>
      </c>
      <c r="B109" s="14">
        <v>45748</v>
      </c>
      <c r="C109" t="s">
        <v>27</v>
      </c>
      <c r="D109">
        <f t="shared" si="6"/>
        <v>0</v>
      </c>
      <c r="E109">
        <f t="shared" si="7"/>
        <v>0</v>
      </c>
      <c r="F109">
        <f t="shared" si="8"/>
        <v>1</v>
      </c>
      <c r="G109" t="s">
        <v>18</v>
      </c>
      <c r="H109">
        <f t="shared" si="9"/>
        <v>1</v>
      </c>
      <c r="I109">
        <f t="shared" si="10"/>
        <v>0</v>
      </c>
      <c r="J109">
        <f t="shared" si="11"/>
        <v>0</v>
      </c>
      <c r="K109">
        <v>31042.03</v>
      </c>
      <c r="L109">
        <v>7107</v>
      </c>
      <c r="M109">
        <v>5.0999999999999997E-2</v>
      </c>
      <c r="N109">
        <v>87</v>
      </c>
      <c r="O109">
        <v>15</v>
      </c>
      <c r="P109">
        <v>13.33</v>
      </c>
      <c r="Q109">
        <v>0</v>
      </c>
      <c r="R109">
        <v>3.2</v>
      </c>
      <c r="S109">
        <v>665594.93999999994</v>
      </c>
      <c r="T109">
        <v>127597.34</v>
      </c>
    </row>
    <row r="110" spans="1:20">
      <c r="A110" t="s">
        <v>49</v>
      </c>
      <c r="B110" s="14">
        <v>45658</v>
      </c>
      <c r="C110" t="s">
        <v>15</v>
      </c>
      <c r="D110">
        <f t="shared" si="6"/>
        <v>0</v>
      </c>
      <c r="E110">
        <f t="shared" si="7"/>
        <v>0</v>
      </c>
      <c r="F110">
        <f t="shared" si="8"/>
        <v>0</v>
      </c>
      <c r="G110" t="s">
        <v>28</v>
      </c>
      <c r="H110">
        <f t="shared" si="9"/>
        <v>0</v>
      </c>
      <c r="I110">
        <f t="shared" si="10"/>
        <v>0</v>
      </c>
      <c r="J110">
        <f t="shared" si="11"/>
        <v>0</v>
      </c>
      <c r="K110">
        <v>75265.02</v>
      </c>
      <c r="L110">
        <v>6975</v>
      </c>
      <c r="M110">
        <v>0.157</v>
      </c>
      <c r="N110">
        <v>73.8</v>
      </c>
      <c r="O110">
        <v>20</v>
      </c>
      <c r="P110">
        <v>6.35</v>
      </c>
      <c r="Q110">
        <v>1</v>
      </c>
      <c r="R110">
        <v>3.8</v>
      </c>
      <c r="S110">
        <v>709478.39</v>
      </c>
      <c r="T110">
        <v>71294.27</v>
      </c>
    </row>
    <row r="111" spans="1:20">
      <c r="A111" t="s">
        <v>49</v>
      </c>
      <c r="B111" s="14">
        <v>45689</v>
      </c>
      <c r="C111" t="s">
        <v>15</v>
      </c>
      <c r="D111">
        <f t="shared" si="6"/>
        <v>0</v>
      </c>
      <c r="E111">
        <f t="shared" si="7"/>
        <v>0</v>
      </c>
      <c r="F111">
        <f t="shared" si="8"/>
        <v>0</v>
      </c>
      <c r="G111" t="s">
        <v>28</v>
      </c>
      <c r="H111">
        <f t="shared" si="9"/>
        <v>0</v>
      </c>
      <c r="I111">
        <f t="shared" si="10"/>
        <v>0</v>
      </c>
      <c r="J111">
        <f t="shared" si="11"/>
        <v>0</v>
      </c>
      <c r="K111">
        <v>69411.7</v>
      </c>
      <c r="L111">
        <v>5493</v>
      </c>
      <c r="M111">
        <v>0.29199999999999998</v>
      </c>
      <c r="N111">
        <v>86.5</v>
      </c>
      <c r="O111">
        <v>13</v>
      </c>
      <c r="P111">
        <v>6.69</v>
      </c>
      <c r="Q111">
        <v>0</v>
      </c>
      <c r="R111">
        <v>3.8</v>
      </c>
      <c r="S111">
        <v>664162.49</v>
      </c>
      <c r="T111">
        <v>98291.06</v>
      </c>
    </row>
    <row r="112" spans="1:20">
      <c r="A112" t="s">
        <v>49</v>
      </c>
      <c r="B112" s="14">
        <v>45717</v>
      </c>
      <c r="C112" t="s">
        <v>15</v>
      </c>
      <c r="D112">
        <f t="shared" si="6"/>
        <v>0</v>
      </c>
      <c r="E112">
        <f t="shared" si="7"/>
        <v>0</v>
      </c>
      <c r="F112">
        <f t="shared" si="8"/>
        <v>0</v>
      </c>
      <c r="G112" t="s">
        <v>28</v>
      </c>
      <c r="H112">
        <f t="shared" si="9"/>
        <v>0</v>
      </c>
      <c r="I112">
        <f t="shared" si="10"/>
        <v>0</v>
      </c>
      <c r="J112">
        <f t="shared" si="11"/>
        <v>0</v>
      </c>
      <c r="K112">
        <v>51056.15</v>
      </c>
      <c r="L112">
        <v>5686</v>
      </c>
      <c r="M112">
        <v>8.8999999999999996E-2</v>
      </c>
      <c r="N112">
        <v>89.9</v>
      </c>
      <c r="O112">
        <v>13</v>
      </c>
      <c r="P112">
        <v>1.28</v>
      </c>
      <c r="Q112">
        <v>0</v>
      </c>
      <c r="R112">
        <v>4.2</v>
      </c>
      <c r="S112">
        <v>633494.21</v>
      </c>
      <c r="T112">
        <v>105739.47</v>
      </c>
    </row>
    <row r="113" spans="1:20">
      <c r="A113" t="s">
        <v>49</v>
      </c>
      <c r="B113" s="14">
        <v>45748</v>
      </c>
      <c r="C113" t="s">
        <v>15</v>
      </c>
      <c r="D113">
        <f t="shared" si="6"/>
        <v>0</v>
      </c>
      <c r="E113">
        <f t="shared" si="7"/>
        <v>0</v>
      </c>
      <c r="F113">
        <f t="shared" si="8"/>
        <v>0</v>
      </c>
      <c r="G113" t="s">
        <v>28</v>
      </c>
      <c r="H113">
        <f t="shared" si="9"/>
        <v>0</v>
      </c>
      <c r="I113">
        <f t="shared" si="10"/>
        <v>0</v>
      </c>
      <c r="J113">
        <f t="shared" si="11"/>
        <v>0</v>
      </c>
      <c r="K113">
        <v>52758.01</v>
      </c>
      <c r="L113">
        <v>4063</v>
      </c>
      <c r="M113">
        <v>5.7000000000000002E-2</v>
      </c>
      <c r="N113">
        <v>91.7</v>
      </c>
      <c r="O113">
        <v>12</v>
      </c>
      <c r="P113">
        <v>0.92</v>
      </c>
      <c r="Q113">
        <v>0</v>
      </c>
      <c r="R113">
        <v>3.5</v>
      </c>
      <c r="S113">
        <v>713611.16</v>
      </c>
      <c r="T113">
        <v>129717.18</v>
      </c>
    </row>
    <row r="114" spans="1:20">
      <c r="A114" t="s">
        <v>50</v>
      </c>
      <c r="B114" s="14">
        <v>45658</v>
      </c>
      <c r="C114" t="s">
        <v>27</v>
      </c>
      <c r="D114">
        <f t="shared" si="6"/>
        <v>0</v>
      </c>
      <c r="E114">
        <f t="shared" si="7"/>
        <v>0</v>
      </c>
      <c r="F114">
        <f t="shared" si="8"/>
        <v>1</v>
      </c>
      <c r="G114" t="s">
        <v>28</v>
      </c>
      <c r="H114">
        <f t="shared" si="9"/>
        <v>0</v>
      </c>
      <c r="I114">
        <f t="shared" si="10"/>
        <v>0</v>
      </c>
      <c r="J114">
        <f t="shared" si="11"/>
        <v>0</v>
      </c>
      <c r="K114">
        <v>61426.04</v>
      </c>
      <c r="L114">
        <v>8966</v>
      </c>
      <c r="M114">
        <v>0.17299999999999999</v>
      </c>
      <c r="N114">
        <v>76.400000000000006</v>
      </c>
      <c r="O114">
        <v>22</v>
      </c>
      <c r="P114">
        <v>1.05</v>
      </c>
      <c r="Q114">
        <v>0</v>
      </c>
      <c r="R114">
        <v>3.1</v>
      </c>
      <c r="S114">
        <v>778397.97</v>
      </c>
      <c r="T114">
        <v>120044.41</v>
      </c>
    </row>
    <row r="115" spans="1:20">
      <c r="A115" t="s">
        <v>50</v>
      </c>
      <c r="B115" s="14">
        <v>45689</v>
      </c>
      <c r="C115" t="s">
        <v>27</v>
      </c>
      <c r="D115">
        <f t="shared" si="6"/>
        <v>0</v>
      </c>
      <c r="E115">
        <f t="shared" si="7"/>
        <v>0</v>
      </c>
      <c r="F115">
        <f t="shared" si="8"/>
        <v>1</v>
      </c>
      <c r="G115" t="s">
        <v>28</v>
      </c>
      <c r="H115">
        <f t="shared" si="9"/>
        <v>0</v>
      </c>
      <c r="I115">
        <f t="shared" si="10"/>
        <v>0</v>
      </c>
      <c r="J115">
        <f t="shared" si="11"/>
        <v>0</v>
      </c>
      <c r="K115">
        <v>80176.34</v>
      </c>
      <c r="L115">
        <v>9489</v>
      </c>
      <c r="M115">
        <v>0.14199999999999999</v>
      </c>
      <c r="N115">
        <v>94.3</v>
      </c>
      <c r="O115">
        <v>22</v>
      </c>
      <c r="P115">
        <v>2.67</v>
      </c>
      <c r="Q115">
        <v>0</v>
      </c>
      <c r="R115">
        <v>3.5</v>
      </c>
      <c r="S115">
        <v>873380.02</v>
      </c>
      <c r="T115">
        <v>149734.76</v>
      </c>
    </row>
    <row r="116" spans="1:20">
      <c r="A116" t="s">
        <v>50</v>
      </c>
      <c r="B116" s="14">
        <v>45717</v>
      </c>
      <c r="C116" t="s">
        <v>27</v>
      </c>
      <c r="D116">
        <f t="shared" si="6"/>
        <v>0</v>
      </c>
      <c r="E116">
        <f t="shared" si="7"/>
        <v>0</v>
      </c>
      <c r="F116">
        <f t="shared" si="8"/>
        <v>1</v>
      </c>
      <c r="G116" t="s">
        <v>28</v>
      </c>
      <c r="H116">
        <f t="shared" si="9"/>
        <v>0</v>
      </c>
      <c r="I116">
        <f t="shared" si="10"/>
        <v>0</v>
      </c>
      <c r="J116">
        <f t="shared" si="11"/>
        <v>0</v>
      </c>
      <c r="K116">
        <v>33605.18</v>
      </c>
      <c r="L116">
        <v>9225</v>
      </c>
      <c r="M116">
        <v>0.159</v>
      </c>
      <c r="N116">
        <v>88.4</v>
      </c>
      <c r="O116">
        <v>23</v>
      </c>
      <c r="P116">
        <v>5.91</v>
      </c>
      <c r="Q116">
        <v>0</v>
      </c>
      <c r="R116">
        <v>2.8</v>
      </c>
      <c r="S116">
        <v>697287.9</v>
      </c>
      <c r="T116">
        <v>128208.33</v>
      </c>
    </row>
    <row r="117" spans="1:20">
      <c r="A117" t="s">
        <v>50</v>
      </c>
      <c r="B117" s="14">
        <v>45748</v>
      </c>
      <c r="C117" t="s">
        <v>27</v>
      </c>
      <c r="D117">
        <f t="shared" si="6"/>
        <v>0</v>
      </c>
      <c r="E117">
        <f t="shared" si="7"/>
        <v>0</v>
      </c>
      <c r="F117">
        <f t="shared" si="8"/>
        <v>1</v>
      </c>
      <c r="G117" t="s">
        <v>28</v>
      </c>
      <c r="H117">
        <f t="shared" si="9"/>
        <v>0</v>
      </c>
      <c r="I117">
        <f t="shared" si="10"/>
        <v>0</v>
      </c>
      <c r="J117">
        <f t="shared" si="11"/>
        <v>0</v>
      </c>
      <c r="K117">
        <v>25990.54</v>
      </c>
      <c r="L117">
        <v>9249</v>
      </c>
      <c r="M117">
        <v>0.13900000000000001</v>
      </c>
      <c r="N117">
        <v>92.5</v>
      </c>
      <c r="O117">
        <v>23</v>
      </c>
      <c r="P117">
        <v>6.37</v>
      </c>
      <c r="Q117">
        <v>0</v>
      </c>
      <c r="R117">
        <v>3.3</v>
      </c>
      <c r="S117">
        <v>718074.79</v>
      </c>
      <c r="T117">
        <v>115819.87</v>
      </c>
    </row>
    <row r="118" spans="1:20">
      <c r="A118" t="s">
        <v>51</v>
      </c>
      <c r="B118" s="14">
        <v>45658</v>
      </c>
      <c r="C118" t="s">
        <v>27</v>
      </c>
      <c r="D118">
        <f t="shared" si="6"/>
        <v>0</v>
      </c>
      <c r="E118">
        <f t="shared" si="7"/>
        <v>0</v>
      </c>
      <c r="F118">
        <f t="shared" si="8"/>
        <v>1</v>
      </c>
      <c r="G118" t="s">
        <v>16</v>
      </c>
      <c r="H118">
        <f t="shared" si="9"/>
        <v>0</v>
      </c>
      <c r="I118">
        <f t="shared" si="10"/>
        <v>1</v>
      </c>
      <c r="J118">
        <f t="shared" si="11"/>
        <v>0</v>
      </c>
      <c r="K118">
        <v>43685.14</v>
      </c>
      <c r="L118">
        <v>7821</v>
      </c>
      <c r="M118">
        <v>0.19</v>
      </c>
      <c r="N118">
        <v>91</v>
      </c>
      <c r="O118">
        <v>17</v>
      </c>
      <c r="P118">
        <v>2.4900000000000002</v>
      </c>
      <c r="Q118">
        <v>1</v>
      </c>
      <c r="R118">
        <v>4.7</v>
      </c>
      <c r="S118">
        <v>714942.43</v>
      </c>
      <c r="T118">
        <v>94697.71</v>
      </c>
    </row>
    <row r="119" spans="1:20">
      <c r="A119" t="s">
        <v>51</v>
      </c>
      <c r="B119" s="14">
        <v>45689</v>
      </c>
      <c r="C119" t="s">
        <v>27</v>
      </c>
      <c r="D119">
        <f t="shared" si="6"/>
        <v>0</v>
      </c>
      <c r="E119">
        <f t="shared" si="7"/>
        <v>0</v>
      </c>
      <c r="F119">
        <f t="shared" si="8"/>
        <v>1</v>
      </c>
      <c r="G119" t="s">
        <v>16</v>
      </c>
      <c r="H119">
        <f t="shared" si="9"/>
        <v>0</v>
      </c>
      <c r="I119">
        <f t="shared" si="10"/>
        <v>1</v>
      </c>
      <c r="J119">
        <f t="shared" si="11"/>
        <v>0</v>
      </c>
      <c r="K119">
        <v>57360.01</v>
      </c>
      <c r="L119">
        <v>8434</v>
      </c>
      <c r="M119">
        <v>0.151</v>
      </c>
      <c r="N119">
        <v>84.1</v>
      </c>
      <c r="O119">
        <v>19</v>
      </c>
      <c r="P119">
        <v>1.56</v>
      </c>
      <c r="Q119">
        <v>0</v>
      </c>
      <c r="R119">
        <v>4.7</v>
      </c>
      <c r="S119">
        <v>820519.04</v>
      </c>
      <c r="T119">
        <v>99035.88</v>
      </c>
    </row>
    <row r="120" spans="1:20">
      <c r="A120" t="s">
        <v>51</v>
      </c>
      <c r="B120" s="14">
        <v>45717</v>
      </c>
      <c r="C120" t="s">
        <v>27</v>
      </c>
      <c r="D120">
        <f t="shared" si="6"/>
        <v>0</v>
      </c>
      <c r="E120">
        <f t="shared" si="7"/>
        <v>0</v>
      </c>
      <c r="F120">
        <f t="shared" si="8"/>
        <v>1</v>
      </c>
      <c r="G120" t="s">
        <v>16</v>
      </c>
      <c r="H120">
        <f t="shared" si="9"/>
        <v>0</v>
      </c>
      <c r="I120">
        <f t="shared" si="10"/>
        <v>1</v>
      </c>
      <c r="J120">
        <f t="shared" si="11"/>
        <v>0</v>
      </c>
      <c r="K120">
        <v>42415.47</v>
      </c>
      <c r="L120">
        <v>8512</v>
      </c>
      <c r="M120">
        <v>0.13300000000000001</v>
      </c>
      <c r="N120">
        <v>96.8</v>
      </c>
      <c r="O120">
        <v>18</v>
      </c>
      <c r="P120">
        <v>14.95</v>
      </c>
      <c r="Q120">
        <v>0</v>
      </c>
      <c r="R120">
        <v>4.5999999999999996</v>
      </c>
      <c r="S120">
        <v>684217.32</v>
      </c>
      <c r="T120">
        <v>136217.19</v>
      </c>
    </row>
    <row r="121" spans="1:20">
      <c r="A121" t="s">
        <v>51</v>
      </c>
      <c r="B121" s="14">
        <v>45748</v>
      </c>
      <c r="C121" t="s">
        <v>27</v>
      </c>
      <c r="D121">
        <f t="shared" si="6"/>
        <v>0</v>
      </c>
      <c r="E121">
        <f t="shared" si="7"/>
        <v>0</v>
      </c>
      <c r="F121">
        <f t="shared" si="8"/>
        <v>1</v>
      </c>
      <c r="G121" t="s">
        <v>16</v>
      </c>
      <c r="H121">
        <f t="shared" si="9"/>
        <v>0</v>
      </c>
      <c r="I121">
        <f t="shared" si="10"/>
        <v>1</v>
      </c>
      <c r="J121">
        <f t="shared" si="11"/>
        <v>0</v>
      </c>
      <c r="K121">
        <v>54968.98</v>
      </c>
      <c r="L121">
        <v>7816</v>
      </c>
      <c r="M121">
        <v>0.23200000000000001</v>
      </c>
      <c r="N121">
        <v>95.7</v>
      </c>
      <c r="O121">
        <v>19</v>
      </c>
      <c r="P121">
        <v>7.85</v>
      </c>
      <c r="Q121">
        <v>0</v>
      </c>
      <c r="R121">
        <v>4.7</v>
      </c>
      <c r="S121">
        <v>735480.19</v>
      </c>
      <c r="T121">
        <v>88342.11</v>
      </c>
    </row>
    <row r="122" spans="1:20">
      <c r="A122" t="s">
        <v>52</v>
      </c>
      <c r="B122" s="14">
        <v>45658</v>
      </c>
      <c r="C122" t="s">
        <v>20</v>
      </c>
      <c r="D122">
        <f t="shared" si="6"/>
        <v>1</v>
      </c>
      <c r="E122">
        <f t="shared" si="7"/>
        <v>0</v>
      </c>
      <c r="F122">
        <f t="shared" si="8"/>
        <v>0</v>
      </c>
      <c r="G122" t="s">
        <v>18</v>
      </c>
      <c r="H122">
        <f t="shared" si="9"/>
        <v>1</v>
      </c>
      <c r="I122">
        <f t="shared" si="10"/>
        <v>0</v>
      </c>
      <c r="J122">
        <f t="shared" si="11"/>
        <v>0</v>
      </c>
      <c r="K122">
        <v>43896.13</v>
      </c>
      <c r="L122">
        <v>3853</v>
      </c>
      <c r="M122">
        <v>8.7999999999999995E-2</v>
      </c>
      <c r="N122">
        <v>83</v>
      </c>
      <c r="O122">
        <v>13</v>
      </c>
      <c r="P122">
        <v>6.8</v>
      </c>
      <c r="Q122">
        <v>0</v>
      </c>
      <c r="R122">
        <v>4.4000000000000004</v>
      </c>
      <c r="S122">
        <v>509484.81</v>
      </c>
      <c r="T122">
        <v>85742.36</v>
      </c>
    </row>
    <row r="123" spans="1:20">
      <c r="A123" t="s">
        <v>52</v>
      </c>
      <c r="B123" s="14">
        <v>45689</v>
      </c>
      <c r="C123" t="s">
        <v>20</v>
      </c>
      <c r="D123">
        <f t="shared" si="6"/>
        <v>1</v>
      </c>
      <c r="E123">
        <f t="shared" si="7"/>
        <v>0</v>
      </c>
      <c r="F123">
        <f t="shared" si="8"/>
        <v>0</v>
      </c>
      <c r="G123" t="s">
        <v>18</v>
      </c>
      <c r="H123">
        <f t="shared" si="9"/>
        <v>1</v>
      </c>
      <c r="I123">
        <f t="shared" si="10"/>
        <v>0</v>
      </c>
      <c r="J123">
        <f t="shared" si="11"/>
        <v>0</v>
      </c>
      <c r="K123">
        <v>83044.17</v>
      </c>
      <c r="L123">
        <v>3694</v>
      </c>
      <c r="M123">
        <v>0</v>
      </c>
      <c r="N123">
        <v>89.4</v>
      </c>
      <c r="O123">
        <v>14</v>
      </c>
      <c r="P123">
        <v>2.2000000000000002</v>
      </c>
      <c r="Q123">
        <v>0</v>
      </c>
      <c r="R123">
        <v>3.7</v>
      </c>
      <c r="S123">
        <v>654317.09</v>
      </c>
      <c r="T123">
        <v>121446.89</v>
      </c>
    </row>
    <row r="124" spans="1:20">
      <c r="A124" t="s">
        <v>52</v>
      </c>
      <c r="B124" s="14">
        <v>45717</v>
      </c>
      <c r="C124" t="s">
        <v>20</v>
      </c>
      <c r="D124">
        <f t="shared" si="6"/>
        <v>1</v>
      </c>
      <c r="E124">
        <f t="shared" si="7"/>
        <v>0</v>
      </c>
      <c r="F124">
        <f t="shared" si="8"/>
        <v>0</v>
      </c>
      <c r="G124" t="s">
        <v>18</v>
      </c>
      <c r="H124">
        <f t="shared" si="9"/>
        <v>1</v>
      </c>
      <c r="I124">
        <f t="shared" si="10"/>
        <v>0</v>
      </c>
      <c r="J124">
        <f t="shared" si="11"/>
        <v>0</v>
      </c>
      <c r="K124">
        <v>48396.13</v>
      </c>
      <c r="L124">
        <v>4423</v>
      </c>
      <c r="M124">
        <v>6.9000000000000006E-2</v>
      </c>
      <c r="N124">
        <v>85.7</v>
      </c>
      <c r="O124">
        <v>15</v>
      </c>
      <c r="P124">
        <v>1.88</v>
      </c>
      <c r="Q124">
        <v>0</v>
      </c>
      <c r="R124">
        <v>3.9</v>
      </c>
      <c r="S124">
        <v>557487.26</v>
      </c>
      <c r="T124">
        <v>76432.19</v>
      </c>
    </row>
    <row r="125" spans="1:20">
      <c r="A125" t="s">
        <v>52</v>
      </c>
      <c r="B125" s="14">
        <v>45748</v>
      </c>
      <c r="C125" t="s">
        <v>20</v>
      </c>
      <c r="D125">
        <f t="shared" si="6"/>
        <v>1</v>
      </c>
      <c r="E125">
        <f t="shared" si="7"/>
        <v>0</v>
      </c>
      <c r="F125">
        <f t="shared" si="8"/>
        <v>0</v>
      </c>
      <c r="G125" t="s">
        <v>18</v>
      </c>
      <c r="H125">
        <f t="shared" si="9"/>
        <v>1</v>
      </c>
      <c r="I125">
        <f t="shared" si="10"/>
        <v>0</v>
      </c>
      <c r="J125">
        <f t="shared" si="11"/>
        <v>0</v>
      </c>
      <c r="K125">
        <v>19063.48</v>
      </c>
      <c r="L125">
        <v>1906</v>
      </c>
      <c r="M125">
        <v>0.216</v>
      </c>
      <c r="N125">
        <v>97.8</v>
      </c>
      <c r="O125">
        <v>10</v>
      </c>
      <c r="P125">
        <v>15.79</v>
      </c>
      <c r="Q125">
        <v>0</v>
      </c>
      <c r="R125">
        <v>4.4000000000000004</v>
      </c>
      <c r="S125">
        <v>441275.42</v>
      </c>
      <c r="T125">
        <v>58234.87</v>
      </c>
    </row>
    <row r="126" spans="1:20">
      <c r="A126" t="s">
        <v>53</v>
      </c>
      <c r="B126" s="14">
        <v>45658</v>
      </c>
      <c r="C126" t="s">
        <v>24</v>
      </c>
      <c r="D126">
        <f t="shared" si="6"/>
        <v>0</v>
      </c>
      <c r="E126">
        <f t="shared" si="7"/>
        <v>1</v>
      </c>
      <c r="F126">
        <f t="shared" si="8"/>
        <v>0</v>
      </c>
      <c r="G126" t="s">
        <v>18</v>
      </c>
      <c r="H126">
        <f t="shared" si="9"/>
        <v>1</v>
      </c>
      <c r="I126">
        <f t="shared" si="10"/>
        <v>0</v>
      </c>
      <c r="J126">
        <f t="shared" si="11"/>
        <v>0</v>
      </c>
      <c r="K126">
        <v>61541.21</v>
      </c>
      <c r="L126">
        <v>10396</v>
      </c>
      <c r="M126">
        <v>0.123</v>
      </c>
      <c r="N126">
        <v>88.1</v>
      </c>
      <c r="O126">
        <v>25</v>
      </c>
      <c r="P126">
        <v>2.34</v>
      </c>
      <c r="Q126">
        <v>1</v>
      </c>
      <c r="R126">
        <v>4.8</v>
      </c>
      <c r="S126">
        <v>914544.17</v>
      </c>
      <c r="T126">
        <v>79831.73</v>
      </c>
    </row>
    <row r="127" spans="1:20">
      <c r="A127" t="s">
        <v>53</v>
      </c>
      <c r="B127" s="14">
        <v>45689</v>
      </c>
      <c r="C127" t="s">
        <v>24</v>
      </c>
      <c r="D127">
        <f t="shared" si="6"/>
        <v>0</v>
      </c>
      <c r="E127">
        <f t="shared" si="7"/>
        <v>1</v>
      </c>
      <c r="F127">
        <f t="shared" si="8"/>
        <v>0</v>
      </c>
      <c r="G127" t="s">
        <v>18</v>
      </c>
      <c r="H127">
        <f t="shared" si="9"/>
        <v>1</v>
      </c>
      <c r="I127">
        <f t="shared" si="10"/>
        <v>0</v>
      </c>
      <c r="J127">
        <f t="shared" si="11"/>
        <v>0</v>
      </c>
      <c r="K127">
        <v>44747</v>
      </c>
      <c r="L127">
        <v>11076</v>
      </c>
      <c r="M127">
        <v>0.17599999999999999</v>
      </c>
      <c r="N127">
        <v>98.3</v>
      </c>
      <c r="O127">
        <v>27</v>
      </c>
      <c r="P127">
        <v>0.54</v>
      </c>
      <c r="Q127">
        <v>0</v>
      </c>
      <c r="R127">
        <v>4.4000000000000004</v>
      </c>
      <c r="S127">
        <v>842439.67</v>
      </c>
      <c r="T127">
        <v>169983.63</v>
      </c>
    </row>
    <row r="128" spans="1:20">
      <c r="A128" t="s">
        <v>53</v>
      </c>
      <c r="B128" s="14">
        <v>45717</v>
      </c>
      <c r="C128" t="s">
        <v>24</v>
      </c>
      <c r="D128">
        <f t="shared" si="6"/>
        <v>0</v>
      </c>
      <c r="E128">
        <f t="shared" si="7"/>
        <v>1</v>
      </c>
      <c r="F128">
        <f t="shared" si="8"/>
        <v>0</v>
      </c>
      <c r="G128" t="s">
        <v>18</v>
      </c>
      <c r="H128">
        <f t="shared" si="9"/>
        <v>1</v>
      </c>
      <c r="I128">
        <f t="shared" si="10"/>
        <v>0</v>
      </c>
      <c r="J128">
        <f t="shared" si="11"/>
        <v>0</v>
      </c>
      <c r="K128">
        <v>56517.9</v>
      </c>
      <c r="L128">
        <v>9574</v>
      </c>
      <c r="M128">
        <v>0.20399999999999999</v>
      </c>
      <c r="N128">
        <v>88.2</v>
      </c>
      <c r="O128">
        <v>20</v>
      </c>
      <c r="P128">
        <v>5.37</v>
      </c>
      <c r="Q128">
        <v>1</v>
      </c>
      <c r="R128">
        <v>4.9000000000000004</v>
      </c>
      <c r="S128">
        <v>842157.92</v>
      </c>
      <c r="T128">
        <v>107348.22</v>
      </c>
    </row>
    <row r="129" spans="1:20">
      <c r="A129" t="s">
        <v>53</v>
      </c>
      <c r="B129" s="14">
        <v>45748</v>
      </c>
      <c r="C129" t="s">
        <v>24</v>
      </c>
      <c r="D129">
        <f t="shared" si="6"/>
        <v>0</v>
      </c>
      <c r="E129">
        <f t="shared" si="7"/>
        <v>1</v>
      </c>
      <c r="F129">
        <f t="shared" si="8"/>
        <v>0</v>
      </c>
      <c r="G129" t="s">
        <v>18</v>
      </c>
      <c r="H129">
        <f t="shared" si="9"/>
        <v>1</v>
      </c>
      <c r="I129">
        <f t="shared" si="10"/>
        <v>0</v>
      </c>
      <c r="J129">
        <f t="shared" si="11"/>
        <v>0</v>
      </c>
      <c r="K129">
        <v>37828.5</v>
      </c>
      <c r="L129">
        <v>8221</v>
      </c>
      <c r="M129">
        <v>9.6000000000000002E-2</v>
      </c>
      <c r="N129">
        <v>81.5</v>
      </c>
      <c r="O129">
        <v>19</v>
      </c>
      <c r="P129">
        <v>3.19</v>
      </c>
      <c r="Q129">
        <v>0</v>
      </c>
      <c r="R129">
        <v>4.8</v>
      </c>
      <c r="S129">
        <v>697155.3</v>
      </c>
      <c r="T129">
        <v>136408.54</v>
      </c>
    </row>
    <row r="130" spans="1:20">
      <c r="A130" t="s">
        <v>54</v>
      </c>
      <c r="B130" s="14">
        <v>45658</v>
      </c>
      <c r="C130" t="s">
        <v>15</v>
      </c>
      <c r="D130">
        <f t="shared" si="6"/>
        <v>0</v>
      </c>
      <c r="E130">
        <f t="shared" si="7"/>
        <v>0</v>
      </c>
      <c r="F130">
        <f t="shared" si="8"/>
        <v>0</v>
      </c>
      <c r="G130" t="s">
        <v>18</v>
      </c>
      <c r="H130">
        <f t="shared" si="9"/>
        <v>1</v>
      </c>
      <c r="I130">
        <f t="shared" si="10"/>
        <v>0</v>
      </c>
      <c r="J130">
        <f t="shared" si="11"/>
        <v>0</v>
      </c>
      <c r="K130">
        <v>66250.53</v>
      </c>
      <c r="L130">
        <v>10618</v>
      </c>
      <c r="M130">
        <v>0.14199999999999999</v>
      </c>
      <c r="N130">
        <v>88.3</v>
      </c>
      <c r="O130">
        <v>27</v>
      </c>
      <c r="P130">
        <v>1.1000000000000001</v>
      </c>
      <c r="Q130">
        <v>1</v>
      </c>
      <c r="R130">
        <v>4.4000000000000004</v>
      </c>
      <c r="S130">
        <v>849018.3</v>
      </c>
      <c r="T130">
        <v>149035.13</v>
      </c>
    </row>
    <row r="131" spans="1:20">
      <c r="A131" t="s">
        <v>54</v>
      </c>
      <c r="B131" s="14">
        <v>45689</v>
      </c>
      <c r="C131" t="s">
        <v>15</v>
      </c>
      <c r="D131">
        <f t="shared" ref="D131:D194" si="12">IF(C131="North",1,0)</f>
        <v>0</v>
      </c>
      <c r="E131">
        <f t="shared" ref="E131:E194" si="13">IF(C131="South",1,0)</f>
        <v>0</v>
      </c>
      <c r="F131">
        <f t="shared" ref="F131:F194" si="14">IF(C131="West",1,0)</f>
        <v>0</v>
      </c>
      <c r="G131" t="s">
        <v>18</v>
      </c>
      <c r="H131">
        <f t="shared" ref="H131:H194" si="15">IF(G131="High Street",1,0)</f>
        <v>1</v>
      </c>
      <c r="I131">
        <f t="shared" ref="I131:I194" si="16">IF(G131="Residential",1,0)</f>
        <v>0</v>
      </c>
      <c r="J131">
        <f t="shared" ref="J131:J194" si="17">IF(G131="Airport",1,0)</f>
        <v>0</v>
      </c>
      <c r="K131">
        <v>68410.929999999993</v>
      </c>
      <c r="L131">
        <v>10596</v>
      </c>
      <c r="M131">
        <v>0.20699999999999999</v>
      </c>
      <c r="N131">
        <v>81.2</v>
      </c>
      <c r="O131">
        <v>25</v>
      </c>
      <c r="P131">
        <v>0.21</v>
      </c>
      <c r="Q131">
        <v>0</v>
      </c>
      <c r="R131">
        <v>4</v>
      </c>
      <c r="S131">
        <v>801830.35</v>
      </c>
      <c r="T131">
        <v>114875.32</v>
      </c>
    </row>
    <row r="132" spans="1:20">
      <c r="A132" t="s">
        <v>54</v>
      </c>
      <c r="B132" s="14">
        <v>45717</v>
      </c>
      <c r="C132" t="s">
        <v>15</v>
      </c>
      <c r="D132">
        <f t="shared" si="12"/>
        <v>0</v>
      </c>
      <c r="E132">
        <f t="shared" si="13"/>
        <v>0</v>
      </c>
      <c r="F132">
        <f t="shared" si="14"/>
        <v>0</v>
      </c>
      <c r="G132" t="s">
        <v>18</v>
      </c>
      <c r="H132">
        <f t="shared" si="15"/>
        <v>1</v>
      </c>
      <c r="I132">
        <f t="shared" si="16"/>
        <v>0</v>
      </c>
      <c r="J132">
        <f t="shared" si="17"/>
        <v>0</v>
      </c>
      <c r="K132">
        <v>50735.63</v>
      </c>
      <c r="L132">
        <v>9619</v>
      </c>
      <c r="M132">
        <v>0.14399999999999999</v>
      </c>
      <c r="N132">
        <v>93.8</v>
      </c>
      <c r="O132">
        <v>19</v>
      </c>
      <c r="P132">
        <v>5.12</v>
      </c>
      <c r="Q132">
        <v>1</v>
      </c>
      <c r="R132">
        <v>4.5</v>
      </c>
      <c r="S132">
        <v>725235.28</v>
      </c>
      <c r="T132">
        <v>121632.24</v>
      </c>
    </row>
    <row r="133" spans="1:20">
      <c r="A133" t="s">
        <v>54</v>
      </c>
      <c r="B133" s="14">
        <v>45748</v>
      </c>
      <c r="C133" t="s">
        <v>15</v>
      </c>
      <c r="D133">
        <f t="shared" si="12"/>
        <v>0</v>
      </c>
      <c r="E133">
        <f t="shared" si="13"/>
        <v>0</v>
      </c>
      <c r="F133">
        <f t="shared" si="14"/>
        <v>0</v>
      </c>
      <c r="G133" t="s">
        <v>18</v>
      </c>
      <c r="H133">
        <f t="shared" si="15"/>
        <v>1</v>
      </c>
      <c r="I133">
        <f t="shared" si="16"/>
        <v>0</v>
      </c>
      <c r="J133">
        <f t="shared" si="17"/>
        <v>0</v>
      </c>
      <c r="K133">
        <v>66455.8</v>
      </c>
      <c r="L133">
        <v>10836</v>
      </c>
      <c r="M133">
        <v>8.8999999999999996E-2</v>
      </c>
      <c r="N133">
        <v>85</v>
      </c>
      <c r="O133">
        <v>25</v>
      </c>
      <c r="P133">
        <v>9.77</v>
      </c>
      <c r="Q133">
        <v>0</v>
      </c>
      <c r="R133">
        <v>4.5</v>
      </c>
      <c r="S133">
        <v>811452.72</v>
      </c>
      <c r="T133">
        <v>131325.67000000001</v>
      </c>
    </row>
    <row r="134" spans="1:20">
      <c r="A134" t="s">
        <v>55</v>
      </c>
      <c r="B134" s="14">
        <v>45658</v>
      </c>
      <c r="C134" t="s">
        <v>20</v>
      </c>
      <c r="D134">
        <f t="shared" si="12"/>
        <v>1</v>
      </c>
      <c r="E134">
        <f t="shared" si="13"/>
        <v>0</v>
      </c>
      <c r="F134">
        <f t="shared" si="14"/>
        <v>0</v>
      </c>
      <c r="G134" t="s">
        <v>18</v>
      </c>
      <c r="H134">
        <f t="shared" si="15"/>
        <v>1</v>
      </c>
      <c r="I134">
        <f t="shared" si="16"/>
        <v>0</v>
      </c>
      <c r="J134">
        <f t="shared" si="17"/>
        <v>0</v>
      </c>
      <c r="K134">
        <v>70276.28</v>
      </c>
      <c r="L134">
        <v>3043</v>
      </c>
      <c r="M134">
        <v>7.9000000000000001E-2</v>
      </c>
      <c r="N134">
        <v>87.9</v>
      </c>
      <c r="O134">
        <v>9</v>
      </c>
      <c r="P134">
        <v>3.77</v>
      </c>
      <c r="Q134">
        <v>0</v>
      </c>
      <c r="R134">
        <v>4.4000000000000004</v>
      </c>
      <c r="S134">
        <v>527300.13</v>
      </c>
      <c r="T134">
        <v>84197.87</v>
      </c>
    </row>
    <row r="135" spans="1:20">
      <c r="A135" t="s">
        <v>55</v>
      </c>
      <c r="B135" s="14">
        <v>45689</v>
      </c>
      <c r="C135" t="s">
        <v>20</v>
      </c>
      <c r="D135">
        <f t="shared" si="12"/>
        <v>1</v>
      </c>
      <c r="E135">
        <f t="shared" si="13"/>
        <v>0</v>
      </c>
      <c r="F135">
        <f t="shared" si="14"/>
        <v>0</v>
      </c>
      <c r="G135" t="s">
        <v>18</v>
      </c>
      <c r="H135">
        <f t="shared" si="15"/>
        <v>1</v>
      </c>
      <c r="I135">
        <f t="shared" si="16"/>
        <v>0</v>
      </c>
      <c r="J135">
        <f t="shared" si="17"/>
        <v>0</v>
      </c>
      <c r="K135">
        <v>22071.64</v>
      </c>
      <c r="L135">
        <v>1814</v>
      </c>
      <c r="M135">
        <v>0.19600000000000001</v>
      </c>
      <c r="N135">
        <v>81.099999999999994</v>
      </c>
      <c r="O135">
        <v>8</v>
      </c>
      <c r="P135">
        <v>0.78</v>
      </c>
      <c r="Q135">
        <v>0</v>
      </c>
      <c r="R135">
        <v>3.92</v>
      </c>
      <c r="S135">
        <v>400831.65</v>
      </c>
      <c r="T135">
        <v>70979.31</v>
      </c>
    </row>
    <row r="136" spans="1:20">
      <c r="A136" t="s">
        <v>55</v>
      </c>
      <c r="B136" s="14">
        <v>45717</v>
      </c>
      <c r="C136" t="s">
        <v>20</v>
      </c>
      <c r="D136">
        <f t="shared" si="12"/>
        <v>1</v>
      </c>
      <c r="E136">
        <f t="shared" si="13"/>
        <v>0</v>
      </c>
      <c r="F136">
        <f t="shared" si="14"/>
        <v>0</v>
      </c>
      <c r="G136" t="s">
        <v>18</v>
      </c>
      <c r="H136">
        <f t="shared" si="15"/>
        <v>1</v>
      </c>
      <c r="I136">
        <f t="shared" si="16"/>
        <v>0</v>
      </c>
      <c r="J136">
        <f t="shared" si="17"/>
        <v>0</v>
      </c>
      <c r="K136">
        <v>52285.45</v>
      </c>
      <c r="L136">
        <v>3618</v>
      </c>
      <c r="M136">
        <v>8.5999999999999993E-2</v>
      </c>
      <c r="N136">
        <v>95.6</v>
      </c>
      <c r="O136">
        <v>11</v>
      </c>
      <c r="P136">
        <v>5.17</v>
      </c>
      <c r="Q136">
        <v>1</v>
      </c>
      <c r="R136">
        <v>4.4000000000000004</v>
      </c>
      <c r="S136">
        <v>593247.25</v>
      </c>
      <c r="T136">
        <v>81240.289999999994</v>
      </c>
    </row>
    <row r="137" spans="1:20">
      <c r="A137" t="s">
        <v>55</v>
      </c>
      <c r="B137" s="14">
        <v>45748</v>
      </c>
      <c r="C137" t="s">
        <v>20</v>
      </c>
      <c r="D137">
        <f t="shared" si="12"/>
        <v>1</v>
      </c>
      <c r="E137">
        <f t="shared" si="13"/>
        <v>0</v>
      </c>
      <c r="F137">
        <f t="shared" si="14"/>
        <v>0</v>
      </c>
      <c r="G137" t="s">
        <v>18</v>
      </c>
      <c r="H137">
        <f t="shared" si="15"/>
        <v>1</v>
      </c>
      <c r="I137">
        <f t="shared" si="16"/>
        <v>0</v>
      </c>
      <c r="J137">
        <f t="shared" si="17"/>
        <v>0</v>
      </c>
      <c r="K137">
        <v>70366.759999999995</v>
      </c>
      <c r="L137">
        <v>1963</v>
      </c>
      <c r="M137">
        <v>0.182</v>
      </c>
      <c r="N137">
        <v>89.8</v>
      </c>
      <c r="O137">
        <v>8</v>
      </c>
      <c r="P137">
        <v>3.2</v>
      </c>
      <c r="Q137">
        <v>0</v>
      </c>
      <c r="R137">
        <v>4.5999999999999996</v>
      </c>
      <c r="S137">
        <v>529075.94999999995</v>
      </c>
      <c r="T137">
        <v>95978.83</v>
      </c>
    </row>
    <row r="138" spans="1:20">
      <c r="A138" t="s">
        <v>56</v>
      </c>
      <c r="B138" s="14">
        <v>45658</v>
      </c>
      <c r="C138" t="s">
        <v>24</v>
      </c>
      <c r="D138">
        <f t="shared" si="12"/>
        <v>0</v>
      </c>
      <c r="E138">
        <f t="shared" si="13"/>
        <v>1</v>
      </c>
      <c r="F138">
        <f t="shared" si="14"/>
        <v>0</v>
      </c>
      <c r="G138" t="s">
        <v>16</v>
      </c>
      <c r="H138">
        <f t="shared" si="15"/>
        <v>0</v>
      </c>
      <c r="I138">
        <f t="shared" si="16"/>
        <v>1</v>
      </c>
      <c r="J138">
        <f t="shared" si="17"/>
        <v>0</v>
      </c>
      <c r="K138">
        <v>71320.66</v>
      </c>
      <c r="L138">
        <v>7888</v>
      </c>
      <c r="M138">
        <v>4.8000000000000001E-2</v>
      </c>
      <c r="N138">
        <v>78.099999999999994</v>
      </c>
      <c r="O138">
        <v>20</v>
      </c>
      <c r="P138">
        <v>3.4</v>
      </c>
      <c r="Q138">
        <v>0</v>
      </c>
      <c r="R138">
        <v>3.92</v>
      </c>
      <c r="S138">
        <v>633638.03</v>
      </c>
      <c r="T138">
        <v>99402.01</v>
      </c>
    </row>
    <row r="139" spans="1:20">
      <c r="A139" t="s">
        <v>56</v>
      </c>
      <c r="B139" s="14">
        <v>45689</v>
      </c>
      <c r="C139" t="s">
        <v>24</v>
      </c>
      <c r="D139">
        <f t="shared" si="12"/>
        <v>0</v>
      </c>
      <c r="E139">
        <f t="shared" si="13"/>
        <v>1</v>
      </c>
      <c r="F139">
        <f t="shared" si="14"/>
        <v>0</v>
      </c>
      <c r="G139" t="s">
        <v>16</v>
      </c>
      <c r="H139">
        <f t="shared" si="15"/>
        <v>0</v>
      </c>
      <c r="I139">
        <f t="shared" si="16"/>
        <v>1</v>
      </c>
      <c r="J139">
        <f t="shared" si="17"/>
        <v>0</v>
      </c>
      <c r="K139">
        <v>75109.67</v>
      </c>
      <c r="L139">
        <v>6244</v>
      </c>
      <c r="M139">
        <v>7.9000000000000001E-2</v>
      </c>
      <c r="N139">
        <v>96.3</v>
      </c>
      <c r="O139">
        <v>15</v>
      </c>
      <c r="P139">
        <v>7.38</v>
      </c>
      <c r="Q139">
        <v>0</v>
      </c>
      <c r="R139">
        <v>3.7</v>
      </c>
      <c r="S139">
        <v>743348.84</v>
      </c>
      <c r="T139">
        <v>104186.09</v>
      </c>
    </row>
    <row r="140" spans="1:20">
      <c r="A140" t="s">
        <v>56</v>
      </c>
      <c r="B140" s="14">
        <v>45717</v>
      </c>
      <c r="C140" t="s">
        <v>24</v>
      </c>
      <c r="D140">
        <f t="shared" si="12"/>
        <v>0</v>
      </c>
      <c r="E140">
        <f t="shared" si="13"/>
        <v>1</v>
      </c>
      <c r="F140">
        <f t="shared" si="14"/>
        <v>0</v>
      </c>
      <c r="G140" t="s">
        <v>16</v>
      </c>
      <c r="H140">
        <f t="shared" si="15"/>
        <v>0</v>
      </c>
      <c r="I140">
        <f t="shared" si="16"/>
        <v>1</v>
      </c>
      <c r="J140">
        <f t="shared" si="17"/>
        <v>0</v>
      </c>
      <c r="K140">
        <v>69779</v>
      </c>
      <c r="L140">
        <v>6544</v>
      </c>
      <c r="M140">
        <v>0.152</v>
      </c>
      <c r="N140">
        <v>90.2</v>
      </c>
      <c r="O140">
        <v>18</v>
      </c>
      <c r="P140">
        <v>0.85</v>
      </c>
      <c r="Q140">
        <v>1</v>
      </c>
      <c r="R140">
        <v>3.3</v>
      </c>
      <c r="S140">
        <v>758827.64</v>
      </c>
      <c r="T140">
        <v>161439.48000000001</v>
      </c>
    </row>
    <row r="141" spans="1:20">
      <c r="A141" t="s">
        <v>56</v>
      </c>
      <c r="B141" s="14">
        <v>45748</v>
      </c>
      <c r="C141" t="s">
        <v>24</v>
      </c>
      <c r="D141">
        <f t="shared" si="12"/>
        <v>0</v>
      </c>
      <c r="E141">
        <f t="shared" si="13"/>
        <v>1</v>
      </c>
      <c r="F141">
        <f t="shared" si="14"/>
        <v>0</v>
      </c>
      <c r="G141" t="s">
        <v>16</v>
      </c>
      <c r="H141">
        <f t="shared" si="15"/>
        <v>0</v>
      </c>
      <c r="I141">
        <f t="shared" si="16"/>
        <v>1</v>
      </c>
      <c r="J141">
        <f t="shared" si="17"/>
        <v>0</v>
      </c>
      <c r="K141">
        <v>44211.95</v>
      </c>
      <c r="L141">
        <v>5465</v>
      </c>
      <c r="M141">
        <v>0.187</v>
      </c>
      <c r="N141">
        <v>90</v>
      </c>
      <c r="O141">
        <v>12</v>
      </c>
      <c r="P141">
        <v>2.89</v>
      </c>
      <c r="Q141">
        <v>0</v>
      </c>
      <c r="R141">
        <v>3.6</v>
      </c>
      <c r="S141">
        <v>646559.71</v>
      </c>
      <c r="T141">
        <v>97981.75</v>
      </c>
    </row>
    <row r="142" spans="1:20">
      <c r="A142" t="s">
        <v>57</v>
      </c>
      <c r="B142" s="14">
        <v>45658</v>
      </c>
      <c r="C142" t="s">
        <v>27</v>
      </c>
      <c r="D142">
        <f t="shared" si="12"/>
        <v>0</v>
      </c>
      <c r="E142">
        <f t="shared" si="13"/>
        <v>0</v>
      </c>
      <c r="F142">
        <f t="shared" si="14"/>
        <v>1</v>
      </c>
      <c r="G142" t="s">
        <v>18</v>
      </c>
      <c r="H142">
        <f t="shared" si="15"/>
        <v>1</v>
      </c>
      <c r="I142">
        <f t="shared" si="16"/>
        <v>0</v>
      </c>
      <c r="J142">
        <f t="shared" si="17"/>
        <v>0</v>
      </c>
      <c r="K142">
        <v>51430.31</v>
      </c>
      <c r="L142">
        <v>6427</v>
      </c>
      <c r="M142">
        <v>0.23400000000000001</v>
      </c>
      <c r="N142">
        <v>88.8</v>
      </c>
      <c r="O142">
        <v>14</v>
      </c>
      <c r="P142">
        <v>0.77</v>
      </c>
      <c r="Q142">
        <v>0</v>
      </c>
      <c r="R142">
        <v>4.0999999999999996</v>
      </c>
      <c r="S142">
        <v>715890.53</v>
      </c>
      <c r="T142">
        <v>109032.15</v>
      </c>
    </row>
    <row r="143" spans="1:20">
      <c r="A143" t="s">
        <v>57</v>
      </c>
      <c r="B143" s="14">
        <v>45689</v>
      </c>
      <c r="C143" t="s">
        <v>27</v>
      </c>
      <c r="D143">
        <f t="shared" si="12"/>
        <v>0</v>
      </c>
      <c r="E143">
        <f t="shared" si="13"/>
        <v>0</v>
      </c>
      <c r="F143">
        <f t="shared" si="14"/>
        <v>1</v>
      </c>
      <c r="G143" t="s">
        <v>18</v>
      </c>
      <c r="H143">
        <f t="shared" si="15"/>
        <v>1</v>
      </c>
      <c r="I143">
        <f t="shared" si="16"/>
        <v>0</v>
      </c>
      <c r="J143">
        <f t="shared" si="17"/>
        <v>0</v>
      </c>
      <c r="K143">
        <v>45706.49</v>
      </c>
      <c r="L143">
        <v>6704</v>
      </c>
      <c r="M143">
        <v>3.7999999999999999E-2</v>
      </c>
      <c r="N143">
        <v>94.2</v>
      </c>
      <c r="O143">
        <v>15</v>
      </c>
      <c r="P143">
        <v>2.92</v>
      </c>
      <c r="Q143">
        <v>0</v>
      </c>
      <c r="R143">
        <v>4.2</v>
      </c>
      <c r="S143">
        <v>715097.57</v>
      </c>
      <c r="T143">
        <v>151875.85999999999</v>
      </c>
    </row>
    <row r="144" spans="1:20">
      <c r="A144" t="s">
        <v>57</v>
      </c>
      <c r="B144" s="14">
        <v>45717</v>
      </c>
      <c r="C144" t="s">
        <v>27</v>
      </c>
      <c r="D144">
        <f t="shared" si="12"/>
        <v>0</v>
      </c>
      <c r="E144">
        <f t="shared" si="13"/>
        <v>0</v>
      </c>
      <c r="F144">
        <f t="shared" si="14"/>
        <v>1</v>
      </c>
      <c r="G144" t="s">
        <v>18</v>
      </c>
      <c r="H144">
        <f t="shared" si="15"/>
        <v>1</v>
      </c>
      <c r="I144">
        <f t="shared" si="16"/>
        <v>0</v>
      </c>
      <c r="J144">
        <f t="shared" si="17"/>
        <v>0</v>
      </c>
      <c r="K144">
        <v>44034.6</v>
      </c>
      <c r="L144">
        <v>5645</v>
      </c>
      <c r="M144">
        <v>6.9000000000000006E-2</v>
      </c>
      <c r="N144">
        <v>88.5</v>
      </c>
      <c r="O144">
        <v>18</v>
      </c>
      <c r="P144">
        <v>3.07</v>
      </c>
      <c r="Q144">
        <v>0</v>
      </c>
      <c r="R144">
        <v>3.8</v>
      </c>
      <c r="S144">
        <v>682639.28</v>
      </c>
      <c r="T144">
        <v>77557.53</v>
      </c>
    </row>
    <row r="145" spans="1:20">
      <c r="A145" t="s">
        <v>57</v>
      </c>
      <c r="B145" s="14">
        <v>45748</v>
      </c>
      <c r="C145" t="s">
        <v>27</v>
      </c>
      <c r="D145">
        <f t="shared" si="12"/>
        <v>0</v>
      </c>
      <c r="E145">
        <f t="shared" si="13"/>
        <v>0</v>
      </c>
      <c r="F145">
        <f t="shared" si="14"/>
        <v>1</v>
      </c>
      <c r="G145" t="s">
        <v>18</v>
      </c>
      <c r="H145">
        <f t="shared" si="15"/>
        <v>1</v>
      </c>
      <c r="I145">
        <f t="shared" si="16"/>
        <v>0</v>
      </c>
      <c r="J145">
        <f t="shared" si="17"/>
        <v>0</v>
      </c>
      <c r="K145">
        <v>50198.12</v>
      </c>
      <c r="L145">
        <v>6089</v>
      </c>
      <c r="M145">
        <v>0.182</v>
      </c>
      <c r="N145">
        <v>94</v>
      </c>
      <c r="O145">
        <v>19</v>
      </c>
      <c r="P145">
        <v>9.6999999999999993</v>
      </c>
      <c r="Q145">
        <v>0</v>
      </c>
      <c r="R145">
        <v>3.9</v>
      </c>
      <c r="S145">
        <v>695098.51</v>
      </c>
      <c r="T145">
        <v>108192.75</v>
      </c>
    </row>
    <row r="146" spans="1:20">
      <c r="A146" t="s">
        <v>58</v>
      </c>
      <c r="B146" s="14">
        <v>45658</v>
      </c>
      <c r="C146" t="s">
        <v>20</v>
      </c>
      <c r="D146">
        <f t="shared" si="12"/>
        <v>1</v>
      </c>
      <c r="E146">
        <f t="shared" si="13"/>
        <v>0</v>
      </c>
      <c r="F146">
        <f t="shared" si="14"/>
        <v>0</v>
      </c>
      <c r="G146" t="s">
        <v>16</v>
      </c>
      <c r="H146">
        <f t="shared" si="15"/>
        <v>0</v>
      </c>
      <c r="I146">
        <f t="shared" si="16"/>
        <v>1</v>
      </c>
      <c r="J146">
        <f t="shared" si="17"/>
        <v>0</v>
      </c>
      <c r="K146">
        <v>70488.2</v>
      </c>
      <c r="L146">
        <v>4312</v>
      </c>
      <c r="M146">
        <v>0.16900000000000001</v>
      </c>
      <c r="N146">
        <v>90.2</v>
      </c>
      <c r="O146">
        <v>12</v>
      </c>
      <c r="P146">
        <v>3.71</v>
      </c>
      <c r="Q146">
        <v>0</v>
      </c>
      <c r="R146">
        <v>3.2</v>
      </c>
      <c r="S146">
        <v>577732.56999999995</v>
      </c>
      <c r="T146">
        <v>93804.27</v>
      </c>
    </row>
    <row r="147" spans="1:20">
      <c r="A147" t="s">
        <v>58</v>
      </c>
      <c r="B147" s="14">
        <v>45689</v>
      </c>
      <c r="C147" t="s">
        <v>20</v>
      </c>
      <c r="D147">
        <f t="shared" si="12"/>
        <v>1</v>
      </c>
      <c r="E147">
        <f t="shared" si="13"/>
        <v>0</v>
      </c>
      <c r="F147">
        <f t="shared" si="14"/>
        <v>0</v>
      </c>
      <c r="G147" t="s">
        <v>16</v>
      </c>
      <c r="H147">
        <f t="shared" si="15"/>
        <v>0</v>
      </c>
      <c r="I147">
        <f t="shared" si="16"/>
        <v>1</v>
      </c>
      <c r="J147">
        <f t="shared" si="17"/>
        <v>0</v>
      </c>
      <c r="K147">
        <v>50909.27</v>
      </c>
      <c r="L147">
        <v>3152</v>
      </c>
      <c r="M147">
        <v>0.06</v>
      </c>
      <c r="N147">
        <v>93.7</v>
      </c>
      <c r="O147">
        <v>13</v>
      </c>
      <c r="P147">
        <v>10.79</v>
      </c>
      <c r="Q147">
        <v>0</v>
      </c>
      <c r="R147">
        <v>3.5</v>
      </c>
      <c r="S147">
        <v>537058.32999999996</v>
      </c>
      <c r="T147">
        <v>93555.71</v>
      </c>
    </row>
    <row r="148" spans="1:20">
      <c r="A148" t="s">
        <v>58</v>
      </c>
      <c r="B148" s="14">
        <v>45717</v>
      </c>
      <c r="C148" t="s">
        <v>20</v>
      </c>
      <c r="D148">
        <f t="shared" si="12"/>
        <v>1</v>
      </c>
      <c r="E148">
        <f t="shared" si="13"/>
        <v>0</v>
      </c>
      <c r="F148">
        <f t="shared" si="14"/>
        <v>0</v>
      </c>
      <c r="G148" t="s">
        <v>16</v>
      </c>
      <c r="H148">
        <f t="shared" si="15"/>
        <v>0</v>
      </c>
      <c r="I148">
        <f t="shared" si="16"/>
        <v>1</v>
      </c>
      <c r="J148">
        <f t="shared" si="17"/>
        <v>0</v>
      </c>
      <c r="K148">
        <v>53351.7</v>
      </c>
      <c r="L148">
        <v>4259</v>
      </c>
      <c r="M148">
        <v>0.156</v>
      </c>
      <c r="N148">
        <v>93.7</v>
      </c>
      <c r="O148">
        <v>15</v>
      </c>
      <c r="P148">
        <v>6.03</v>
      </c>
      <c r="Q148">
        <v>0</v>
      </c>
      <c r="R148">
        <v>3.4</v>
      </c>
      <c r="S148">
        <v>601568.87</v>
      </c>
      <c r="T148">
        <v>91634.82</v>
      </c>
    </row>
    <row r="149" spans="1:20">
      <c r="A149" t="s">
        <v>58</v>
      </c>
      <c r="B149" s="14">
        <v>45748</v>
      </c>
      <c r="C149" t="s">
        <v>20</v>
      </c>
      <c r="D149">
        <f t="shared" si="12"/>
        <v>1</v>
      </c>
      <c r="E149">
        <f t="shared" si="13"/>
        <v>0</v>
      </c>
      <c r="F149">
        <f t="shared" si="14"/>
        <v>0</v>
      </c>
      <c r="G149" t="s">
        <v>16</v>
      </c>
      <c r="H149">
        <f t="shared" si="15"/>
        <v>0</v>
      </c>
      <c r="I149">
        <f t="shared" si="16"/>
        <v>1</v>
      </c>
      <c r="J149">
        <f t="shared" si="17"/>
        <v>0</v>
      </c>
      <c r="K149">
        <v>60322.400000000001</v>
      </c>
      <c r="L149">
        <v>3350</v>
      </c>
      <c r="M149">
        <v>0.108</v>
      </c>
      <c r="N149">
        <v>89.4</v>
      </c>
      <c r="O149">
        <v>12</v>
      </c>
      <c r="P149">
        <v>4.92</v>
      </c>
      <c r="Q149">
        <v>0</v>
      </c>
      <c r="R149">
        <v>3.4</v>
      </c>
      <c r="S149">
        <v>570964.84</v>
      </c>
      <c r="T149">
        <v>81331.070000000007</v>
      </c>
    </row>
    <row r="150" spans="1:20">
      <c r="A150" t="s">
        <v>59</v>
      </c>
      <c r="B150" s="14">
        <v>45658</v>
      </c>
      <c r="C150" t="s">
        <v>24</v>
      </c>
      <c r="D150">
        <f t="shared" si="12"/>
        <v>0</v>
      </c>
      <c r="E150">
        <f t="shared" si="13"/>
        <v>1</v>
      </c>
      <c r="F150">
        <f t="shared" si="14"/>
        <v>0</v>
      </c>
      <c r="G150" t="s">
        <v>28</v>
      </c>
      <c r="H150">
        <f t="shared" si="15"/>
        <v>0</v>
      </c>
      <c r="I150">
        <f t="shared" si="16"/>
        <v>0</v>
      </c>
      <c r="J150">
        <f t="shared" si="17"/>
        <v>0</v>
      </c>
      <c r="K150">
        <v>51575.68</v>
      </c>
      <c r="L150">
        <v>5329</v>
      </c>
      <c r="M150">
        <v>4.7E-2</v>
      </c>
      <c r="N150">
        <v>88.1</v>
      </c>
      <c r="O150">
        <v>17</v>
      </c>
      <c r="P150">
        <v>19.78</v>
      </c>
      <c r="Q150">
        <v>0</v>
      </c>
      <c r="R150">
        <v>3.8</v>
      </c>
      <c r="S150">
        <v>614024.91</v>
      </c>
      <c r="T150">
        <v>84828.93</v>
      </c>
    </row>
    <row r="151" spans="1:20">
      <c r="A151" t="s">
        <v>59</v>
      </c>
      <c r="B151" s="14">
        <v>45689</v>
      </c>
      <c r="C151" t="s">
        <v>24</v>
      </c>
      <c r="D151">
        <f t="shared" si="12"/>
        <v>0</v>
      </c>
      <c r="E151">
        <f t="shared" si="13"/>
        <v>1</v>
      </c>
      <c r="F151">
        <f t="shared" si="14"/>
        <v>0</v>
      </c>
      <c r="G151" t="s">
        <v>28</v>
      </c>
      <c r="H151">
        <f t="shared" si="15"/>
        <v>0</v>
      </c>
      <c r="I151">
        <f t="shared" si="16"/>
        <v>0</v>
      </c>
      <c r="J151">
        <f t="shared" si="17"/>
        <v>0</v>
      </c>
      <c r="K151">
        <v>43319.94</v>
      </c>
      <c r="L151">
        <v>6551</v>
      </c>
      <c r="M151">
        <v>4.3999999999999997E-2</v>
      </c>
      <c r="N151">
        <v>99</v>
      </c>
      <c r="O151">
        <v>13</v>
      </c>
      <c r="P151">
        <v>5.45</v>
      </c>
      <c r="Q151">
        <v>0</v>
      </c>
      <c r="R151">
        <v>4.0999999999999996</v>
      </c>
      <c r="S151">
        <v>712868.35</v>
      </c>
      <c r="T151">
        <v>133650.51</v>
      </c>
    </row>
    <row r="152" spans="1:20">
      <c r="A152" t="s">
        <v>59</v>
      </c>
      <c r="B152" s="14">
        <v>45717</v>
      </c>
      <c r="C152" t="s">
        <v>24</v>
      </c>
      <c r="D152">
        <f t="shared" si="12"/>
        <v>0</v>
      </c>
      <c r="E152">
        <f t="shared" si="13"/>
        <v>1</v>
      </c>
      <c r="F152">
        <f t="shared" si="14"/>
        <v>0</v>
      </c>
      <c r="G152" t="s">
        <v>28</v>
      </c>
      <c r="H152">
        <f t="shared" si="15"/>
        <v>0</v>
      </c>
      <c r="I152">
        <f t="shared" si="16"/>
        <v>0</v>
      </c>
      <c r="J152">
        <f t="shared" si="17"/>
        <v>0</v>
      </c>
      <c r="K152">
        <v>47093.55</v>
      </c>
      <c r="L152">
        <v>5550</v>
      </c>
      <c r="M152">
        <v>0.1</v>
      </c>
      <c r="N152">
        <v>95</v>
      </c>
      <c r="O152">
        <v>12</v>
      </c>
      <c r="P152">
        <v>2.33</v>
      </c>
      <c r="Q152">
        <v>1</v>
      </c>
      <c r="R152">
        <v>3.7</v>
      </c>
      <c r="S152">
        <v>696744.15</v>
      </c>
      <c r="T152">
        <v>152230.09</v>
      </c>
    </row>
    <row r="153" spans="1:20">
      <c r="A153" t="s">
        <v>59</v>
      </c>
      <c r="B153" s="14">
        <v>45748</v>
      </c>
      <c r="C153" t="s">
        <v>24</v>
      </c>
      <c r="D153">
        <f t="shared" si="12"/>
        <v>0</v>
      </c>
      <c r="E153">
        <f t="shared" si="13"/>
        <v>1</v>
      </c>
      <c r="F153">
        <f t="shared" si="14"/>
        <v>0</v>
      </c>
      <c r="G153" t="s">
        <v>28</v>
      </c>
      <c r="H153">
        <f t="shared" si="15"/>
        <v>0</v>
      </c>
      <c r="I153">
        <f t="shared" si="16"/>
        <v>0</v>
      </c>
      <c r="J153">
        <f t="shared" si="17"/>
        <v>0</v>
      </c>
      <c r="K153">
        <v>71855.09</v>
      </c>
      <c r="L153">
        <v>5911</v>
      </c>
      <c r="M153">
        <v>0.19700000000000001</v>
      </c>
      <c r="N153">
        <v>94.3</v>
      </c>
      <c r="O153">
        <v>15</v>
      </c>
      <c r="P153">
        <v>3.55</v>
      </c>
      <c r="Q153">
        <v>0</v>
      </c>
      <c r="R153">
        <v>4.0999999999999996</v>
      </c>
      <c r="S153">
        <v>725847.99</v>
      </c>
      <c r="T153">
        <v>122698.73</v>
      </c>
    </row>
    <row r="154" spans="1:20">
      <c r="A154" t="s">
        <v>60</v>
      </c>
      <c r="B154" s="14">
        <v>45658</v>
      </c>
      <c r="C154" t="s">
        <v>15</v>
      </c>
      <c r="D154">
        <f t="shared" si="12"/>
        <v>0</v>
      </c>
      <c r="E154">
        <f t="shared" si="13"/>
        <v>0</v>
      </c>
      <c r="F154">
        <f t="shared" si="14"/>
        <v>0</v>
      </c>
      <c r="G154" t="s">
        <v>18</v>
      </c>
      <c r="H154">
        <f t="shared" si="15"/>
        <v>1</v>
      </c>
      <c r="I154">
        <f t="shared" si="16"/>
        <v>0</v>
      </c>
      <c r="J154">
        <f t="shared" si="17"/>
        <v>0</v>
      </c>
      <c r="K154">
        <v>75645.23</v>
      </c>
      <c r="L154">
        <v>9674</v>
      </c>
      <c r="M154">
        <v>0.23400000000000001</v>
      </c>
      <c r="N154">
        <v>87.4</v>
      </c>
      <c r="O154">
        <v>21</v>
      </c>
      <c r="P154">
        <v>0.2</v>
      </c>
      <c r="Q154">
        <v>0</v>
      </c>
      <c r="R154">
        <v>4.5</v>
      </c>
      <c r="S154">
        <v>785028.25</v>
      </c>
      <c r="T154">
        <v>110726.44</v>
      </c>
    </row>
    <row r="155" spans="1:20">
      <c r="A155" t="s">
        <v>60</v>
      </c>
      <c r="B155" s="14">
        <v>45689</v>
      </c>
      <c r="C155" t="s">
        <v>15</v>
      </c>
      <c r="D155">
        <f t="shared" si="12"/>
        <v>0</v>
      </c>
      <c r="E155">
        <f t="shared" si="13"/>
        <v>0</v>
      </c>
      <c r="F155">
        <f t="shared" si="14"/>
        <v>0</v>
      </c>
      <c r="G155" t="s">
        <v>18</v>
      </c>
      <c r="H155">
        <f t="shared" si="15"/>
        <v>1</v>
      </c>
      <c r="I155">
        <f t="shared" si="16"/>
        <v>0</v>
      </c>
      <c r="J155">
        <f t="shared" si="17"/>
        <v>0</v>
      </c>
      <c r="K155">
        <v>64374.75</v>
      </c>
      <c r="L155">
        <v>6740</v>
      </c>
      <c r="M155">
        <v>0.16900000000000001</v>
      </c>
      <c r="N155">
        <v>87</v>
      </c>
      <c r="O155">
        <v>18</v>
      </c>
      <c r="P155">
        <v>2.09</v>
      </c>
      <c r="Q155">
        <v>0</v>
      </c>
      <c r="R155">
        <v>4.2</v>
      </c>
      <c r="S155">
        <v>698492.67</v>
      </c>
      <c r="T155">
        <v>117319.32</v>
      </c>
    </row>
    <row r="156" spans="1:20">
      <c r="A156" t="s">
        <v>60</v>
      </c>
      <c r="B156" s="14">
        <v>45717</v>
      </c>
      <c r="C156" t="s">
        <v>15</v>
      </c>
      <c r="D156">
        <f t="shared" si="12"/>
        <v>0</v>
      </c>
      <c r="E156">
        <f t="shared" si="13"/>
        <v>0</v>
      </c>
      <c r="F156">
        <f t="shared" si="14"/>
        <v>0</v>
      </c>
      <c r="G156" t="s">
        <v>18</v>
      </c>
      <c r="H156">
        <f t="shared" si="15"/>
        <v>1</v>
      </c>
      <c r="I156">
        <f t="shared" si="16"/>
        <v>0</v>
      </c>
      <c r="J156">
        <f t="shared" si="17"/>
        <v>0</v>
      </c>
      <c r="K156">
        <v>61433.84</v>
      </c>
      <c r="L156">
        <v>7745</v>
      </c>
      <c r="M156">
        <v>0.18</v>
      </c>
      <c r="N156">
        <v>90.5</v>
      </c>
      <c r="O156">
        <v>16</v>
      </c>
      <c r="P156">
        <v>2.2599999999999998</v>
      </c>
      <c r="Q156">
        <v>0</v>
      </c>
      <c r="R156">
        <v>4.2</v>
      </c>
      <c r="S156">
        <v>685830.24</v>
      </c>
      <c r="T156">
        <v>128736.18</v>
      </c>
    </row>
    <row r="157" spans="1:20">
      <c r="A157" t="s">
        <v>60</v>
      </c>
      <c r="B157" s="14">
        <v>45748</v>
      </c>
      <c r="C157" t="s">
        <v>15</v>
      </c>
      <c r="D157">
        <f t="shared" si="12"/>
        <v>0</v>
      </c>
      <c r="E157">
        <f t="shared" si="13"/>
        <v>0</v>
      </c>
      <c r="F157">
        <f t="shared" si="14"/>
        <v>0</v>
      </c>
      <c r="G157" t="s">
        <v>18</v>
      </c>
      <c r="H157">
        <f t="shared" si="15"/>
        <v>1</v>
      </c>
      <c r="I157">
        <f t="shared" si="16"/>
        <v>0</v>
      </c>
      <c r="J157">
        <f t="shared" si="17"/>
        <v>0</v>
      </c>
      <c r="K157">
        <v>42698.14</v>
      </c>
      <c r="L157">
        <v>7693</v>
      </c>
      <c r="M157">
        <v>0.187</v>
      </c>
      <c r="N157">
        <v>90.1</v>
      </c>
      <c r="O157">
        <v>19</v>
      </c>
      <c r="P157">
        <v>0.44</v>
      </c>
      <c r="Q157">
        <v>0</v>
      </c>
      <c r="R157">
        <v>4.4000000000000004</v>
      </c>
      <c r="S157">
        <v>702318.94</v>
      </c>
      <c r="T157">
        <v>112829.29</v>
      </c>
    </row>
    <row r="158" spans="1:20">
      <c r="A158" t="s">
        <v>61</v>
      </c>
      <c r="B158" s="14">
        <v>45658</v>
      </c>
      <c r="C158" t="s">
        <v>20</v>
      </c>
      <c r="D158">
        <f t="shared" si="12"/>
        <v>1</v>
      </c>
      <c r="E158">
        <f t="shared" si="13"/>
        <v>0</v>
      </c>
      <c r="F158">
        <f t="shared" si="14"/>
        <v>0</v>
      </c>
      <c r="G158" t="s">
        <v>28</v>
      </c>
      <c r="H158">
        <f t="shared" si="15"/>
        <v>0</v>
      </c>
      <c r="I158">
        <f t="shared" si="16"/>
        <v>0</v>
      </c>
      <c r="J158">
        <f t="shared" si="17"/>
        <v>0</v>
      </c>
      <c r="K158">
        <v>86883.31</v>
      </c>
      <c r="L158">
        <v>6424</v>
      </c>
      <c r="M158">
        <v>5.7000000000000002E-2</v>
      </c>
      <c r="N158">
        <v>85.2</v>
      </c>
      <c r="O158">
        <v>19</v>
      </c>
      <c r="P158">
        <v>3.08</v>
      </c>
      <c r="Q158">
        <v>0</v>
      </c>
      <c r="R158">
        <v>3.9</v>
      </c>
      <c r="S158">
        <v>700078.32</v>
      </c>
      <c r="T158">
        <v>123707.58</v>
      </c>
    </row>
    <row r="159" spans="1:20">
      <c r="A159" t="s">
        <v>61</v>
      </c>
      <c r="B159" s="14">
        <v>45689</v>
      </c>
      <c r="C159" t="s">
        <v>20</v>
      </c>
      <c r="D159">
        <f t="shared" si="12"/>
        <v>1</v>
      </c>
      <c r="E159">
        <f t="shared" si="13"/>
        <v>0</v>
      </c>
      <c r="F159">
        <f t="shared" si="14"/>
        <v>0</v>
      </c>
      <c r="G159" t="s">
        <v>28</v>
      </c>
      <c r="H159">
        <f t="shared" si="15"/>
        <v>0</v>
      </c>
      <c r="I159">
        <f t="shared" si="16"/>
        <v>0</v>
      </c>
      <c r="J159">
        <f t="shared" si="17"/>
        <v>0</v>
      </c>
      <c r="K159">
        <v>41863.08</v>
      </c>
      <c r="L159">
        <v>5400</v>
      </c>
      <c r="M159">
        <v>0.114</v>
      </c>
      <c r="N159">
        <v>91.6</v>
      </c>
      <c r="O159">
        <v>11</v>
      </c>
      <c r="P159">
        <v>7.99</v>
      </c>
      <c r="Q159">
        <v>0</v>
      </c>
      <c r="R159">
        <v>3</v>
      </c>
      <c r="S159">
        <v>602002.31999999995</v>
      </c>
      <c r="T159">
        <v>110453.28</v>
      </c>
    </row>
    <row r="160" spans="1:20">
      <c r="A160" t="s">
        <v>61</v>
      </c>
      <c r="B160" s="14">
        <v>45717</v>
      </c>
      <c r="C160" t="s">
        <v>20</v>
      </c>
      <c r="D160">
        <f t="shared" si="12"/>
        <v>1</v>
      </c>
      <c r="E160">
        <f t="shared" si="13"/>
        <v>0</v>
      </c>
      <c r="F160">
        <f t="shared" si="14"/>
        <v>0</v>
      </c>
      <c r="G160" t="s">
        <v>28</v>
      </c>
      <c r="H160">
        <f t="shared" si="15"/>
        <v>0</v>
      </c>
      <c r="I160">
        <f t="shared" si="16"/>
        <v>0</v>
      </c>
      <c r="J160">
        <f t="shared" si="17"/>
        <v>0</v>
      </c>
      <c r="K160">
        <v>56918.16</v>
      </c>
      <c r="L160">
        <v>7015</v>
      </c>
      <c r="M160">
        <v>0.158</v>
      </c>
      <c r="N160">
        <v>74.2</v>
      </c>
      <c r="O160">
        <v>18</v>
      </c>
      <c r="P160">
        <v>0.2</v>
      </c>
      <c r="Q160">
        <v>0</v>
      </c>
      <c r="R160">
        <v>3.4</v>
      </c>
      <c r="S160">
        <v>724216.07</v>
      </c>
      <c r="T160">
        <v>100627.56</v>
      </c>
    </row>
    <row r="161" spans="1:20">
      <c r="A161" t="s">
        <v>61</v>
      </c>
      <c r="B161" s="14">
        <v>45748</v>
      </c>
      <c r="C161" t="s">
        <v>20</v>
      </c>
      <c r="D161">
        <f t="shared" si="12"/>
        <v>1</v>
      </c>
      <c r="E161">
        <f t="shared" si="13"/>
        <v>0</v>
      </c>
      <c r="F161">
        <f t="shared" si="14"/>
        <v>0</v>
      </c>
      <c r="G161" t="s">
        <v>28</v>
      </c>
      <c r="H161">
        <f t="shared" si="15"/>
        <v>0</v>
      </c>
      <c r="I161">
        <f t="shared" si="16"/>
        <v>0</v>
      </c>
      <c r="J161">
        <f t="shared" si="17"/>
        <v>0</v>
      </c>
      <c r="K161">
        <v>23254.57</v>
      </c>
      <c r="L161">
        <v>3847</v>
      </c>
      <c r="M161">
        <v>0.159</v>
      </c>
      <c r="N161">
        <v>93</v>
      </c>
      <c r="O161">
        <v>12</v>
      </c>
      <c r="P161">
        <v>5.46</v>
      </c>
      <c r="Q161">
        <v>0</v>
      </c>
      <c r="R161">
        <v>3.3</v>
      </c>
      <c r="S161">
        <v>620973.03</v>
      </c>
      <c r="T161">
        <v>72303.850000000006</v>
      </c>
    </row>
    <row r="162" spans="1:20">
      <c r="A162" t="s">
        <v>62</v>
      </c>
      <c r="B162" s="14">
        <v>45658</v>
      </c>
      <c r="C162" t="s">
        <v>24</v>
      </c>
      <c r="D162">
        <f t="shared" si="12"/>
        <v>0</v>
      </c>
      <c r="E162">
        <f t="shared" si="13"/>
        <v>1</v>
      </c>
      <c r="F162">
        <f t="shared" si="14"/>
        <v>0</v>
      </c>
      <c r="G162" t="s">
        <v>18</v>
      </c>
      <c r="H162">
        <f t="shared" si="15"/>
        <v>1</v>
      </c>
      <c r="I162">
        <f t="shared" si="16"/>
        <v>0</v>
      </c>
      <c r="J162">
        <f t="shared" si="17"/>
        <v>0</v>
      </c>
      <c r="K162">
        <v>41443.410000000003</v>
      </c>
      <c r="L162">
        <v>7455</v>
      </c>
      <c r="M162">
        <v>0.17499999999999999</v>
      </c>
      <c r="N162">
        <v>90.1</v>
      </c>
      <c r="O162">
        <v>16</v>
      </c>
      <c r="P162">
        <v>4.05</v>
      </c>
      <c r="Q162">
        <v>0</v>
      </c>
      <c r="R162">
        <v>4</v>
      </c>
      <c r="S162">
        <v>650480.06000000006</v>
      </c>
      <c r="T162">
        <v>109012.07</v>
      </c>
    </row>
    <row r="163" spans="1:20">
      <c r="A163" t="s">
        <v>62</v>
      </c>
      <c r="B163" s="14">
        <v>45689</v>
      </c>
      <c r="C163" t="s">
        <v>24</v>
      </c>
      <c r="D163">
        <f t="shared" si="12"/>
        <v>0</v>
      </c>
      <c r="E163">
        <f t="shared" si="13"/>
        <v>1</v>
      </c>
      <c r="F163">
        <f t="shared" si="14"/>
        <v>0</v>
      </c>
      <c r="G163" t="s">
        <v>18</v>
      </c>
      <c r="H163">
        <f t="shared" si="15"/>
        <v>1</v>
      </c>
      <c r="I163">
        <f t="shared" si="16"/>
        <v>0</v>
      </c>
      <c r="J163">
        <f t="shared" si="17"/>
        <v>0</v>
      </c>
      <c r="K163">
        <v>48438.85</v>
      </c>
      <c r="L163">
        <v>6992</v>
      </c>
      <c r="M163">
        <v>3.4000000000000002E-2</v>
      </c>
      <c r="N163">
        <v>91</v>
      </c>
      <c r="O163">
        <v>20</v>
      </c>
      <c r="P163">
        <v>4.3600000000000003</v>
      </c>
      <c r="Q163">
        <v>0</v>
      </c>
      <c r="R163">
        <v>4.2</v>
      </c>
      <c r="S163">
        <v>778298.88</v>
      </c>
      <c r="T163">
        <v>130076.72</v>
      </c>
    </row>
    <row r="164" spans="1:20">
      <c r="A164" t="s">
        <v>62</v>
      </c>
      <c r="B164" s="14">
        <v>45717</v>
      </c>
      <c r="C164" t="s">
        <v>24</v>
      </c>
      <c r="D164">
        <f t="shared" si="12"/>
        <v>0</v>
      </c>
      <c r="E164">
        <f t="shared" si="13"/>
        <v>1</v>
      </c>
      <c r="F164">
        <f t="shared" si="14"/>
        <v>0</v>
      </c>
      <c r="G164" t="s">
        <v>18</v>
      </c>
      <c r="H164">
        <f t="shared" si="15"/>
        <v>1</v>
      </c>
      <c r="I164">
        <f t="shared" si="16"/>
        <v>0</v>
      </c>
      <c r="J164">
        <f t="shared" si="17"/>
        <v>0</v>
      </c>
      <c r="K164">
        <v>57143.3</v>
      </c>
      <c r="L164">
        <v>8038</v>
      </c>
      <c r="M164">
        <v>0.193</v>
      </c>
      <c r="N164">
        <v>72.599999999999994</v>
      </c>
      <c r="O164">
        <v>17</v>
      </c>
      <c r="P164">
        <v>3.3650000000000002</v>
      </c>
      <c r="Q164">
        <v>0</v>
      </c>
      <c r="R164">
        <v>4.2</v>
      </c>
      <c r="S164">
        <v>677096.71</v>
      </c>
      <c r="T164">
        <v>97174.11</v>
      </c>
    </row>
    <row r="165" spans="1:20">
      <c r="A165" t="s">
        <v>62</v>
      </c>
      <c r="B165" s="14">
        <v>45748</v>
      </c>
      <c r="C165" t="s">
        <v>24</v>
      </c>
      <c r="D165">
        <f t="shared" si="12"/>
        <v>0</v>
      </c>
      <c r="E165">
        <f t="shared" si="13"/>
        <v>1</v>
      </c>
      <c r="F165">
        <f t="shared" si="14"/>
        <v>0</v>
      </c>
      <c r="G165" t="s">
        <v>18</v>
      </c>
      <c r="H165">
        <f t="shared" si="15"/>
        <v>1</v>
      </c>
      <c r="I165">
        <f t="shared" si="16"/>
        <v>0</v>
      </c>
      <c r="J165">
        <f t="shared" si="17"/>
        <v>0</v>
      </c>
      <c r="K165">
        <v>66870.62</v>
      </c>
      <c r="L165">
        <v>6055</v>
      </c>
      <c r="M165">
        <v>7.4999999999999997E-2</v>
      </c>
      <c r="N165">
        <v>93.8</v>
      </c>
      <c r="O165">
        <v>19</v>
      </c>
      <c r="P165">
        <v>0.54</v>
      </c>
      <c r="Q165">
        <v>0</v>
      </c>
      <c r="R165">
        <v>4.3</v>
      </c>
      <c r="S165">
        <v>692008.64</v>
      </c>
      <c r="T165">
        <v>116337.87</v>
      </c>
    </row>
    <row r="166" spans="1:20">
      <c r="A166" t="s">
        <v>63</v>
      </c>
      <c r="B166" s="14">
        <v>45658</v>
      </c>
      <c r="C166" t="s">
        <v>20</v>
      </c>
      <c r="D166">
        <f t="shared" si="12"/>
        <v>1</v>
      </c>
      <c r="E166">
        <f t="shared" si="13"/>
        <v>0</v>
      </c>
      <c r="F166">
        <f t="shared" si="14"/>
        <v>0</v>
      </c>
      <c r="G166" t="s">
        <v>28</v>
      </c>
      <c r="H166">
        <f t="shared" si="15"/>
        <v>0</v>
      </c>
      <c r="I166">
        <f t="shared" si="16"/>
        <v>0</v>
      </c>
      <c r="J166">
        <f t="shared" si="17"/>
        <v>0</v>
      </c>
      <c r="K166">
        <v>72150.53</v>
      </c>
      <c r="L166">
        <v>9323</v>
      </c>
      <c r="M166">
        <v>0.157</v>
      </c>
      <c r="N166">
        <v>82.9</v>
      </c>
      <c r="O166">
        <v>22</v>
      </c>
      <c r="P166">
        <v>11.37</v>
      </c>
      <c r="Q166">
        <v>1</v>
      </c>
      <c r="R166">
        <v>4.3</v>
      </c>
      <c r="S166">
        <v>825797.91</v>
      </c>
      <c r="T166">
        <v>130945.24</v>
      </c>
    </row>
    <row r="167" spans="1:20">
      <c r="A167" t="s">
        <v>63</v>
      </c>
      <c r="B167" s="14">
        <v>45689</v>
      </c>
      <c r="C167" t="s">
        <v>20</v>
      </c>
      <c r="D167">
        <f t="shared" si="12"/>
        <v>1</v>
      </c>
      <c r="E167">
        <f t="shared" si="13"/>
        <v>0</v>
      </c>
      <c r="F167">
        <f t="shared" si="14"/>
        <v>0</v>
      </c>
      <c r="G167" t="s">
        <v>28</v>
      </c>
      <c r="H167">
        <f t="shared" si="15"/>
        <v>0</v>
      </c>
      <c r="I167">
        <f t="shared" si="16"/>
        <v>0</v>
      </c>
      <c r="J167">
        <f t="shared" si="17"/>
        <v>0</v>
      </c>
      <c r="K167">
        <v>35303.300000000003</v>
      </c>
      <c r="L167">
        <v>8789</v>
      </c>
      <c r="M167">
        <v>0.123</v>
      </c>
      <c r="N167">
        <v>86.1</v>
      </c>
      <c r="O167">
        <v>22</v>
      </c>
      <c r="P167">
        <v>9.43</v>
      </c>
      <c r="Q167">
        <v>0</v>
      </c>
      <c r="R167">
        <v>4.2</v>
      </c>
      <c r="S167">
        <v>706285.52</v>
      </c>
      <c r="T167">
        <v>138014.72</v>
      </c>
    </row>
    <row r="168" spans="1:20">
      <c r="A168" t="s">
        <v>63</v>
      </c>
      <c r="B168" s="14">
        <v>45717</v>
      </c>
      <c r="C168" t="s">
        <v>20</v>
      </c>
      <c r="D168">
        <f t="shared" si="12"/>
        <v>1</v>
      </c>
      <c r="E168">
        <f t="shared" si="13"/>
        <v>0</v>
      </c>
      <c r="F168">
        <f t="shared" si="14"/>
        <v>0</v>
      </c>
      <c r="G168" t="s">
        <v>28</v>
      </c>
      <c r="H168">
        <f t="shared" si="15"/>
        <v>0</v>
      </c>
      <c r="I168">
        <f t="shared" si="16"/>
        <v>0</v>
      </c>
      <c r="J168">
        <f t="shared" si="17"/>
        <v>0</v>
      </c>
      <c r="K168">
        <v>30301.86</v>
      </c>
      <c r="L168">
        <v>6939</v>
      </c>
      <c r="M168">
        <v>0.09</v>
      </c>
      <c r="N168">
        <v>90.3</v>
      </c>
      <c r="O168">
        <v>16</v>
      </c>
      <c r="P168">
        <v>3.49</v>
      </c>
      <c r="Q168">
        <v>0</v>
      </c>
      <c r="R168">
        <v>4</v>
      </c>
      <c r="S168">
        <v>665534.69999999995</v>
      </c>
      <c r="T168">
        <v>113167.73</v>
      </c>
    </row>
    <row r="169" spans="1:20">
      <c r="A169" t="s">
        <v>63</v>
      </c>
      <c r="B169" s="14">
        <v>45748</v>
      </c>
      <c r="C169" t="s">
        <v>20</v>
      </c>
      <c r="D169">
        <f t="shared" si="12"/>
        <v>1</v>
      </c>
      <c r="E169">
        <f t="shared" si="13"/>
        <v>0</v>
      </c>
      <c r="F169">
        <f t="shared" si="14"/>
        <v>0</v>
      </c>
      <c r="G169" t="s">
        <v>28</v>
      </c>
      <c r="H169">
        <f t="shared" si="15"/>
        <v>0</v>
      </c>
      <c r="I169">
        <f t="shared" si="16"/>
        <v>0</v>
      </c>
      <c r="J169">
        <f t="shared" si="17"/>
        <v>0</v>
      </c>
      <c r="K169">
        <v>78432.14</v>
      </c>
      <c r="L169">
        <v>9440</v>
      </c>
      <c r="M169">
        <v>0.126</v>
      </c>
      <c r="N169">
        <v>89.2</v>
      </c>
      <c r="O169">
        <v>23</v>
      </c>
      <c r="P169">
        <v>7.86</v>
      </c>
      <c r="Q169">
        <v>0</v>
      </c>
      <c r="R169">
        <v>4.0999999999999996</v>
      </c>
      <c r="S169">
        <v>820729.29</v>
      </c>
      <c r="T169">
        <v>159325.47</v>
      </c>
    </row>
    <row r="170" spans="1:20">
      <c r="A170" t="s">
        <v>64</v>
      </c>
      <c r="B170" s="14">
        <v>45658</v>
      </c>
      <c r="C170" t="s">
        <v>15</v>
      </c>
      <c r="D170">
        <f t="shared" si="12"/>
        <v>0</v>
      </c>
      <c r="E170">
        <f t="shared" si="13"/>
        <v>0</v>
      </c>
      <c r="F170">
        <f t="shared" si="14"/>
        <v>0</v>
      </c>
      <c r="G170" t="s">
        <v>16</v>
      </c>
      <c r="H170">
        <f t="shared" si="15"/>
        <v>0</v>
      </c>
      <c r="I170">
        <f t="shared" si="16"/>
        <v>1</v>
      </c>
      <c r="J170">
        <f t="shared" si="17"/>
        <v>0</v>
      </c>
      <c r="K170">
        <v>62059.18</v>
      </c>
      <c r="L170">
        <v>9374</v>
      </c>
      <c r="M170">
        <v>0.13600000000000001</v>
      </c>
      <c r="N170">
        <v>87.1</v>
      </c>
      <c r="O170">
        <v>25</v>
      </c>
      <c r="P170">
        <v>12.55</v>
      </c>
      <c r="Q170">
        <v>0</v>
      </c>
      <c r="R170">
        <v>4.9000000000000004</v>
      </c>
      <c r="S170">
        <v>739831.73</v>
      </c>
      <c r="T170">
        <v>119490.21</v>
      </c>
    </row>
    <row r="171" spans="1:20">
      <c r="A171" t="s">
        <v>64</v>
      </c>
      <c r="B171" s="14">
        <v>45689</v>
      </c>
      <c r="C171" t="s">
        <v>15</v>
      </c>
      <c r="D171">
        <f t="shared" si="12"/>
        <v>0</v>
      </c>
      <c r="E171">
        <f t="shared" si="13"/>
        <v>0</v>
      </c>
      <c r="F171">
        <f t="shared" si="14"/>
        <v>0</v>
      </c>
      <c r="G171" t="s">
        <v>16</v>
      </c>
      <c r="H171">
        <f t="shared" si="15"/>
        <v>0</v>
      </c>
      <c r="I171">
        <f t="shared" si="16"/>
        <v>1</v>
      </c>
      <c r="J171">
        <f t="shared" si="17"/>
        <v>0</v>
      </c>
      <c r="K171">
        <v>32834.480000000003</v>
      </c>
      <c r="L171">
        <v>7576</v>
      </c>
      <c r="M171">
        <v>9.9000000000000005E-2</v>
      </c>
      <c r="N171">
        <v>84.1</v>
      </c>
      <c r="O171">
        <v>15</v>
      </c>
      <c r="P171">
        <v>3.48</v>
      </c>
      <c r="Q171">
        <v>0</v>
      </c>
      <c r="R171">
        <v>5</v>
      </c>
      <c r="S171">
        <v>593637.14</v>
      </c>
      <c r="T171">
        <v>106648.14</v>
      </c>
    </row>
    <row r="172" spans="1:20">
      <c r="A172" t="s">
        <v>64</v>
      </c>
      <c r="B172" s="14">
        <v>45717</v>
      </c>
      <c r="C172" t="s">
        <v>15</v>
      </c>
      <c r="D172">
        <f t="shared" si="12"/>
        <v>0</v>
      </c>
      <c r="E172">
        <f t="shared" si="13"/>
        <v>0</v>
      </c>
      <c r="F172">
        <f t="shared" si="14"/>
        <v>0</v>
      </c>
      <c r="G172" t="s">
        <v>16</v>
      </c>
      <c r="H172">
        <f t="shared" si="15"/>
        <v>0</v>
      </c>
      <c r="I172">
        <f t="shared" si="16"/>
        <v>1</v>
      </c>
      <c r="J172">
        <f t="shared" si="17"/>
        <v>0</v>
      </c>
      <c r="K172">
        <v>50825.08</v>
      </c>
      <c r="L172">
        <v>8949</v>
      </c>
      <c r="M172">
        <v>0.157</v>
      </c>
      <c r="N172">
        <v>84.7</v>
      </c>
      <c r="O172">
        <v>21</v>
      </c>
      <c r="P172">
        <v>7.73</v>
      </c>
      <c r="Q172">
        <v>0</v>
      </c>
      <c r="R172">
        <v>4.9000000000000004</v>
      </c>
      <c r="S172">
        <v>769702.76</v>
      </c>
      <c r="T172">
        <v>158697</v>
      </c>
    </row>
    <row r="173" spans="1:20">
      <c r="A173" t="s">
        <v>64</v>
      </c>
      <c r="B173" s="14">
        <v>45748</v>
      </c>
      <c r="C173" t="s">
        <v>15</v>
      </c>
      <c r="D173">
        <f t="shared" si="12"/>
        <v>0</v>
      </c>
      <c r="E173">
        <f t="shared" si="13"/>
        <v>0</v>
      </c>
      <c r="F173">
        <f t="shared" si="14"/>
        <v>0</v>
      </c>
      <c r="G173" t="s">
        <v>16</v>
      </c>
      <c r="H173">
        <f t="shared" si="15"/>
        <v>0</v>
      </c>
      <c r="I173">
        <f t="shared" si="16"/>
        <v>1</v>
      </c>
      <c r="J173">
        <f t="shared" si="17"/>
        <v>0</v>
      </c>
      <c r="K173">
        <v>36606.51</v>
      </c>
      <c r="L173">
        <v>7671</v>
      </c>
      <c r="M173">
        <v>0.11799999999999999</v>
      </c>
      <c r="N173">
        <v>89.8</v>
      </c>
      <c r="O173">
        <v>18</v>
      </c>
      <c r="P173">
        <v>0.25</v>
      </c>
      <c r="Q173">
        <v>0</v>
      </c>
      <c r="R173">
        <v>4.4000000000000004</v>
      </c>
      <c r="S173">
        <v>679731.57</v>
      </c>
      <c r="T173">
        <v>121546.42</v>
      </c>
    </row>
    <row r="174" spans="1:20">
      <c r="A174" t="s">
        <v>65</v>
      </c>
      <c r="B174" s="14">
        <v>45658</v>
      </c>
      <c r="C174" t="s">
        <v>15</v>
      </c>
      <c r="D174">
        <f t="shared" si="12"/>
        <v>0</v>
      </c>
      <c r="E174">
        <f t="shared" si="13"/>
        <v>0</v>
      </c>
      <c r="F174">
        <f t="shared" si="14"/>
        <v>0</v>
      </c>
      <c r="G174" t="s">
        <v>16</v>
      </c>
      <c r="H174">
        <f t="shared" si="15"/>
        <v>0</v>
      </c>
      <c r="I174">
        <f t="shared" si="16"/>
        <v>1</v>
      </c>
      <c r="J174">
        <f t="shared" si="17"/>
        <v>0</v>
      </c>
      <c r="K174">
        <v>65237.79</v>
      </c>
      <c r="L174">
        <v>8741</v>
      </c>
      <c r="M174">
        <v>0.157</v>
      </c>
      <c r="N174">
        <v>94.4</v>
      </c>
      <c r="O174">
        <v>20</v>
      </c>
      <c r="P174">
        <v>6.43</v>
      </c>
      <c r="Q174">
        <v>0</v>
      </c>
      <c r="R174">
        <v>3.3</v>
      </c>
      <c r="S174">
        <v>780344.18</v>
      </c>
      <c r="T174">
        <v>118239.09</v>
      </c>
    </row>
    <row r="175" spans="1:20">
      <c r="A175" t="s">
        <v>65</v>
      </c>
      <c r="B175" s="14">
        <v>45689</v>
      </c>
      <c r="C175" t="s">
        <v>15</v>
      </c>
      <c r="D175">
        <f t="shared" si="12"/>
        <v>0</v>
      </c>
      <c r="E175">
        <f t="shared" si="13"/>
        <v>0</v>
      </c>
      <c r="F175">
        <f t="shared" si="14"/>
        <v>0</v>
      </c>
      <c r="G175" t="s">
        <v>16</v>
      </c>
      <c r="H175">
        <f t="shared" si="15"/>
        <v>0</v>
      </c>
      <c r="I175">
        <f t="shared" si="16"/>
        <v>1</v>
      </c>
      <c r="J175">
        <f t="shared" si="17"/>
        <v>0</v>
      </c>
      <c r="K175">
        <v>43645.98</v>
      </c>
      <c r="L175">
        <v>9480</v>
      </c>
      <c r="M175">
        <v>0.109</v>
      </c>
      <c r="N175">
        <v>89</v>
      </c>
      <c r="O175">
        <v>22</v>
      </c>
      <c r="P175">
        <v>2.11</v>
      </c>
      <c r="Q175">
        <v>0</v>
      </c>
      <c r="R175">
        <v>3.1</v>
      </c>
      <c r="S175">
        <v>721364.11</v>
      </c>
      <c r="T175">
        <v>147272.81</v>
      </c>
    </row>
    <row r="176" spans="1:20">
      <c r="A176" t="s">
        <v>65</v>
      </c>
      <c r="B176" s="14">
        <v>45717</v>
      </c>
      <c r="C176" t="s">
        <v>15</v>
      </c>
      <c r="D176">
        <f t="shared" si="12"/>
        <v>0</v>
      </c>
      <c r="E176">
        <f t="shared" si="13"/>
        <v>0</v>
      </c>
      <c r="F176">
        <f t="shared" si="14"/>
        <v>0</v>
      </c>
      <c r="G176" t="s">
        <v>16</v>
      </c>
      <c r="H176">
        <f t="shared" si="15"/>
        <v>0</v>
      </c>
      <c r="I176">
        <f t="shared" si="16"/>
        <v>1</v>
      </c>
      <c r="J176">
        <f t="shared" si="17"/>
        <v>0</v>
      </c>
      <c r="K176">
        <v>68040.149999999994</v>
      </c>
      <c r="L176">
        <v>9826</v>
      </c>
      <c r="M176">
        <v>0.125</v>
      </c>
      <c r="N176">
        <v>83.9</v>
      </c>
      <c r="O176">
        <v>20</v>
      </c>
      <c r="P176">
        <v>9.1199999999999992</v>
      </c>
      <c r="Q176">
        <v>0</v>
      </c>
      <c r="R176">
        <v>3.6</v>
      </c>
      <c r="S176">
        <v>758138.29</v>
      </c>
      <c r="T176">
        <v>132975.26</v>
      </c>
    </row>
    <row r="177" spans="1:20">
      <c r="A177" t="s">
        <v>65</v>
      </c>
      <c r="B177" s="14">
        <v>45748</v>
      </c>
      <c r="C177" t="s">
        <v>15</v>
      </c>
      <c r="D177">
        <f t="shared" si="12"/>
        <v>0</v>
      </c>
      <c r="E177">
        <f t="shared" si="13"/>
        <v>0</v>
      </c>
      <c r="F177">
        <f t="shared" si="14"/>
        <v>0</v>
      </c>
      <c r="G177" t="s">
        <v>16</v>
      </c>
      <c r="H177">
        <f t="shared" si="15"/>
        <v>0</v>
      </c>
      <c r="I177">
        <f t="shared" si="16"/>
        <v>1</v>
      </c>
      <c r="J177">
        <f t="shared" si="17"/>
        <v>0</v>
      </c>
      <c r="K177">
        <v>63043.94</v>
      </c>
      <c r="L177">
        <v>10402</v>
      </c>
      <c r="M177">
        <v>0.159</v>
      </c>
      <c r="N177">
        <v>93.9</v>
      </c>
      <c r="O177">
        <v>23</v>
      </c>
      <c r="P177">
        <v>2.71</v>
      </c>
      <c r="Q177">
        <v>0</v>
      </c>
      <c r="R177">
        <v>3.1</v>
      </c>
      <c r="S177">
        <v>804264</v>
      </c>
      <c r="T177">
        <v>167117.91</v>
      </c>
    </row>
    <row r="178" spans="1:20">
      <c r="A178" t="s">
        <v>66</v>
      </c>
      <c r="B178" s="14">
        <v>45658</v>
      </c>
      <c r="C178" t="s">
        <v>27</v>
      </c>
      <c r="D178">
        <f t="shared" si="12"/>
        <v>0</v>
      </c>
      <c r="E178">
        <f t="shared" si="13"/>
        <v>0</v>
      </c>
      <c r="F178">
        <f t="shared" si="14"/>
        <v>1</v>
      </c>
      <c r="G178" t="s">
        <v>21</v>
      </c>
      <c r="H178">
        <f t="shared" si="15"/>
        <v>0</v>
      </c>
      <c r="I178">
        <f t="shared" si="16"/>
        <v>0</v>
      </c>
      <c r="J178">
        <f t="shared" si="17"/>
        <v>1</v>
      </c>
      <c r="K178">
        <v>67494.09</v>
      </c>
      <c r="L178">
        <v>12361</v>
      </c>
      <c r="M178">
        <v>4.5999999999999999E-2</v>
      </c>
      <c r="N178">
        <v>76.599999999999994</v>
      </c>
      <c r="O178">
        <v>24</v>
      </c>
      <c r="P178">
        <v>3.65</v>
      </c>
      <c r="Q178">
        <v>1</v>
      </c>
      <c r="R178">
        <v>3.7</v>
      </c>
      <c r="S178">
        <v>887537.75</v>
      </c>
      <c r="T178">
        <v>160362.92000000001</v>
      </c>
    </row>
    <row r="179" spans="1:20">
      <c r="A179" t="s">
        <v>66</v>
      </c>
      <c r="B179" s="14">
        <v>45689</v>
      </c>
      <c r="C179" t="s">
        <v>27</v>
      </c>
      <c r="D179">
        <f t="shared" si="12"/>
        <v>0</v>
      </c>
      <c r="E179">
        <f t="shared" si="13"/>
        <v>0</v>
      </c>
      <c r="F179">
        <f t="shared" si="14"/>
        <v>1</v>
      </c>
      <c r="G179" t="s">
        <v>21</v>
      </c>
      <c r="H179">
        <f t="shared" si="15"/>
        <v>0</v>
      </c>
      <c r="I179">
        <f t="shared" si="16"/>
        <v>0</v>
      </c>
      <c r="J179">
        <f t="shared" si="17"/>
        <v>1</v>
      </c>
      <c r="K179">
        <v>29389.32</v>
      </c>
      <c r="L179">
        <v>7925</v>
      </c>
      <c r="M179">
        <v>0.17699999999999999</v>
      </c>
      <c r="N179">
        <v>90.9</v>
      </c>
      <c r="O179">
        <v>21</v>
      </c>
      <c r="P179">
        <v>7.86</v>
      </c>
      <c r="Q179">
        <v>0</v>
      </c>
      <c r="R179">
        <v>4</v>
      </c>
      <c r="S179">
        <v>783582</v>
      </c>
      <c r="T179">
        <v>130670.93</v>
      </c>
    </row>
    <row r="180" spans="1:20">
      <c r="A180" t="s">
        <v>66</v>
      </c>
      <c r="B180" s="14">
        <v>45717</v>
      </c>
      <c r="C180" t="s">
        <v>27</v>
      </c>
      <c r="D180">
        <f t="shared" si="12"/>
        <v>0</v>
      </c>
      <c r="E180">
        <f t="shared" si="13"/>
        <v>0</v>
      </c>
      <c r="F180">
        <f t="shared" si="14"/>
        <v>1</v>
      </c>
      <c r="G180" t="s">
        <v>21</v>
      </c>
      <c r="H180">
        <f t="shared" si="15"/>
        <v>0</v>
      </c>
      <c r="I180">
        <f t="shared" si="16"/>
        <v>0</v>
      </c>
      <c r="J180">
        <f t="shared" si="17"/>
        <v>1</v>
      </c>
      <c r="K180">
        <v>40535.089999999997</v>
      </c>
      <c r="L180">
        <v>8870</v>
      </c>
      <c r="M180">
        <v>4.1000000000000002E-2</v>
      </c>
      <c r="N180">
        <v>86.6</v>
      </c>
      <c r="O180">
        <v>21</v>
      </c>
      <c r="P180">
        <v>0.3</v>
      </c>
      <c r="Q180">
        <v>0</v>
      </c>
      <c r="R180">
        <v>4.0999999999999996</v>
      </c>
      <c r="S180">
        <v>781955.52</v>
      </c>
      <c r="T180">
        <v>152578.71</v>
      </c>
    </row>
    <row r="181" spans="1:20">
      <c r="A181" t="s">
        <v>66</v>
      </c>
      <c r="B181" s="14">
        <v>45748</v>
      </c>
      <c r="C181" t="s">
        <v>27</v>
      </c>
      <c r="D181">
        <f t="shared" si="12"/>
        <v>0</v>
      </c>
      <c r="E181">
        <f t="shared" si="13"/>
        <v>0</v>
      </c>
      <c r="F181">
        <f t="shared" si="14"/>
        <v>1</v>
      </c>
      <c r="G181" t="s">
        <v>21</v>
      </c>
      <c r="H181">
        <f t="shared" si="15"/>
        <v>0</v>
      </c>
      <c r="I181">
        <f t="shared" si="16"/>
        <v>0</v>
      </c>
      <c r="J181">
        <f t="shared" si="17"/>
        <v>1</v>
      </c>
      <c r="K181">
        <v>74881.56</v>
      </c>
      <c r="L181">
        <v>9999</v>
      </c>
      <c r="M181">
        <v>1.2999999999999999E-2</v>
      </c>
      <c r="N181">
        <v>89.6</v>
      </c>
      <c r="O181">
        <v>20</v>
      </c>
      <c r="P181">
        <v>8.44</v>
      </c>
      <c r="Q181">
        <v>0</v>
      </c>
      <c r="R181">
        <v>4.0999999999999996</v>
      </c>
      <c r="S181">
        <v>898031.04</v>
      </c>
      <c r="T181">
        <v>138666.5</v>
      </c>
    </row>
    <row r="182" spans="1:20">
      <c r="A182" t="s">
        <v>67</v>
      </c>
      <c r="B182" s="14">
        <v>45658</v>
      </c>
      <c r="C182" t="s">
        <v>27</v>
      </c>
      <c r="D182">
        <f t="shared" si="12"/>
        <v>0</v>
      </c>
      <c r="E182">
        <f t="shared" si="13"/>
        <v>0</v>
      </c>
      <c r="F182">
        <f t="shared" si="14"/>
        <v>1</v>
      </c>
      <c r="G182" t="s">
        <v>16</v>
      </c>
      <c r="H182">
        <f t="shared" si="15"/>
        <v>0</v>
      </c>
      <c r="I182">
        <f t="shared" si="16"/>
        <v>1</v>
      </c>
      <c r="J182">
        <f t="shared" si="17"/>
        <v>0</v>
      </c>
      <c r="K182">
        <v>68491.11</v>
      </c>
      <c r="L182">
        <v>11154</v>
      </c>
      <c r="M182">
        <v>1E-3</v>
      </c>
      <c r="N182">
        <v>89.4</v>
      </c>
      <c r="O182">
        <v>24</v>
      </c>
      <c r="P182">
        <v>5.27</v>
      </c>
      <c r="Q182">
        <v>1</v>
      </c>
      <c r="R182">
        <v>3.9</v>
      </c>
      <c r="S182">
        <v>855341.28</v>
      </c>
      <c r="T182">
        <v>175823.8</v>
      </c>
    </row>
    <row r="183" spans="1:20">
      <c r="A183" t="s">
        <v>67</v>
      </c>
      <c r="B183" s="14">
        <v>45689</v>
      </c>
      <c r="C183" t="s">
        <v>27</v>
      </c>
      <c r="D183">
        <f t="shared" si="12"/>
        <v>0</v>
      </c>
      <c r="E183">
        <f t="shared" si="13"/>
        <v>0</v>
      </c>
      <c r="F183">
        <f t="shared" si="14"/>
        <v>1</v>
      </c>
      <c r="G183" t="s">
        <v>16</v>
      </c>
      <c r="H183">
        <f t="shared" si="15"/>
        <v>0</v>
      </c>
      <c r="I183">
        <f t="shared" si="16"/>
        <v>1</v>
      </c>
      <c r="J183">
        <f t="shared" si="17"/>
        <v>0</v>
      </c>
      <c r="K183">
        <v>45209.25</v>
      </c>
      <c r="L183">
        <v>9287</v>
      </c>
      <c r="M183">
        <v>0.14099999999999999</v>
      </c>
      <c r="N183">
        <v>86.4</v>
      </c>
      <c r="O183">
        <v>22</v>
      </c>
      <c r="P183">
        <v>13.22</v>
      </c>
      <c r="Q183">
        <v>0</v>
      </c>
      <c r="R183">
        <v>3.6</v>
      </c>
      <c r="S183">
        <v>751393.88</v>
      </c>
      <c r="T183">
        <v>91480.320000000007</v>
      </c>
    </row>
    <row r="184" spans="1:20">
      <c r="A184" t="s">
        <v>67</v>
      </c>
      <c r="B184" s="14">
        <v>45717</v>
      </c>
      <c r="C184" t="s">
        <v>27</v>
      </c>
      <c r="D184">
        <f t="shared" si="12"/>
        <v>0</v>
      </c>
      <c r="E184">
        <f t="shared" si="13"/>
        <v>0</v>
      </c>
      <c r="F184">
        <f t="shared" si="14"/>
        <v>1</v>
      </c>
      <c r="G184" t="s">
        <v>16</v>
      </c>
      <c r="H184">
        <f t="shared" si="15"/>
        <v>0</v>
      </c>
      <c r="I184">
        <f t="shared" si="16"/>
        <v>1</v>
      </c>
      <c r="J184">
        <f t="shared" si="17"/>
        <v>0</v>
      </c>
      <c r="K184">
        <v>63010.23</v>
      </c>
      <c r="L184">
        <v>9812</v>
      </c>
      <c r="M184">
        <v>0.113</v>
      </c>
      <c r="N184">
        <v>76.8</v>
      </c>
      <c r="O184">
        <v>24</v>
      </c>
      <c r="P184">
        <v>1.02</v>
      </c>
      <c r="Q184">
        <v>1</v>
      </c>
      <c r="R184">
        <v>3.8</v>
      </c>
      <c r="S184">
        <v>761077.08</v>
      </c>
      <c r="T184">
        <v>113605.93</v>
      </c>
    </row>
    <row r="185" spans="1:20">
      <c r="A185" t="s">
        <v>67</v>
      </c>
      <c r="B185" s="14">
        <v>45748</v>
      </c>
      <c r="C185" t="s">
        <v>27</v>
      </c>
      <c r="D185">
        <f t="shared" si="12"/>
        <v>0</v>
      </c>
      <c r="E185">
        <f t="shared" si="13"/>
        <v>0</v>
      </c>
      <c r="F185">
        <f t="shared" si="14"/>
        <v>1</v>
      </c>
      <c r="G185" t="s">
        <v>16</v>
      </c>
      <c r="H185">
        <f t="shared" si="15"/>
        <v>0</v>
      </c>
      <c r="I185">
        <f t="shared" si="16"/>
        <v>1</v>
      </c>
      <c r="J185">
        <f t="shared" si="17"/>
        <v>0</v>
      </c>
      <c r="K185">
        <v>57948.88</v>
      </c>
      <c r="L185">
        <v>10741</v>
      </c>
      <c r="M185">
        <v>7.0000000000000007E-2</v>
      </c>
      <c r="N185">
        <v>90.1</v>
      </c>
      <c r="O185">
        <v>25</v>
      </c>
      <c r="P185">
        <v>4.03</v>
      </c>
      <c r="Q185">
        <v>0</v>
      </c>
      <c r="R185">
        <v>3.1</v>
      </c>
      <c r="S185">
        <v>819660.59</v>
      </c>
      <c r="T185">
        <v>172699.95</v>
      </c>
    </row>
    <row r="186" spans="1:20">
      <c r="A186" t="s">
        <v>68</v>
      </c>
      <c r="B186" s="14">
        <v>45658</v>
      </c>
      <c r="C186" t="s">
        <v>20</v>
      </c>
      <c r="D186">
        <f t="shared" si="12"/>
        <v>1</v>
      </c>
      <c r="E186">
        <f t="shared" si="13"/>
        <v>0</v>
      </c>
      <c r="F186">
        <f t="shared" si="14"/>
        <v>0</v>
      </c>
      <c r="G186" t="s">
        <v>18</v>
      </c>
      <c r="H186">
        <f t="shared" si="15"/>
        <v>1</v>
      </c>
      <c r="I186">
        <f t="shared" si="16"/>
        <v>0</v>
      </c>
      <c r="J186">
        <f t="shared" si="17"/>
        <v>0</v>
      </c>
      <c r="K186">
        <v>71941.62</v>
      </c>
      <c r="L186">
        <v>6084</v>
      </c>
      <c r="M186">
        <v>7.1999999999999995E-2</v>
      </c>
      <c r="N186">
        <v>93.7</v>
      </c>
      <c r="O186">
        <v>13</v>
      </c>
      <c r="P186">
        <v>2.34</v>
      </c>
      <c r="Q186">
        <v>0</v>
      </c>
      <c r="R186">
        <v>4.4000000000000004</v>
      </c>
      <c r="S186">
        <v>681855.56</v>
      </c>
      <c r="T186">
        <v>117645.61</v>
      </c>
    </row>
    <row r="187" spans="1:20">
      <c r="A187" t="s">
        <v>68</v>
      </c>
      <c r="B187" s="14">
        <v>45689</v>
      </c>
      <c r="C187" t="s">
        <v>20</v>
      </c>
      <c r="D187">
        <f t="shared" si="12"/>
        <v>1</v>
      </c>
      <c r="E187">
        <f t="shared" si="13"/>
        <v>0</v>
      </c>
      <c r="F187">
        <f t="shared" si="14"/>
        <v>0</v>
      </c>
      <c r="G187" t="s">
        <v>18</v>
      </c>
      <c r="H187">
        <f t="shared" si="15"/>
        <v>1</v>
      </c>
      <c r="I187">
        <f t="shared" si="16"/>
        <v>0</v>
      </c>
      <c r="J187">
        <f t="shared" si="17"/>
        <v>0</v>
      </c>
      <c r="K187">
        <v>57147.88</v>
      </c>
      <c r="L187">
        <v>5252</v>
      </c>
      <c r="M187">
        <v>0.161</v>
      </c>
      <c r="N187">
        <v>95.5</v>
      </c>
      <c r="O187">
        <v>15</v>
      </c>
      <c r="P187">
        <v>8.51</v>
      </c>
      <c r="Q187">
        <v>0</v>
      </c>
      <c r="R187">
        <v>4.4000000000000004</v>
      </c>
      <c r="S187">
        <v>678311.17</v>
      </c>
      <c r="T187">
        <v>132029.76000000001</v>
      </c>
    </row>
    <row r="188" spans="1:20">
      <c r="A188" t="s">
        <v>68</v>
      </c>
      <c r="B188" s="14">
        <v>45717</v>
      </c>
      <c r="C188" t="s">
        <v>20</v>
      </c>
      <c r="D188">
        <f t="shared" si="12"/>
        <v>1</v>
      </c>
      <c r="E188">
        <f t="shared" si="13"/>
        <v>0</v>
      </c>
      <c r="F188">
        <f t="shared" si="14"/>
        <v>0</v>
      </c>
      <c r="G188" t="s">
        <v>18</v>
      </c>
      <c r="H188">
        <f t="shared" si="15"/>
        <v>1</v>
      </c>
      <c r="I188">
        <f t="shared" si="16"/>
        <v>0</v>
      </c>
      <c r="J188">
        <f t="shared" si="17"/>
        <v>0</v>
      </c>
      <c r="K188">
        <v>48031.74</v>
      </c>
      <c r="L188">
        <v>6516</v>
      </c>
      <c r="M188">
        <v>6.7000000000000004E-2</v>
      </c>
      <c r="N188">
        <v>99</v>
      </c>
      <c r="O188">
        <v>14</v>
      </c>
      <c r="P188">
        <v>0.48</v>
      </c>
      <c r="Q188">
        <v>1</v>
      </c>
      <c r="R188">
        <v>4.3</v>
      </c>
      <c r="S188">
        <v>765906.95</v>
      </c>
      <c r="T188">
        <v>114005.9</v>
      </c>
    </row>
    <row r="189" spans="1:20">
      <c r="A189" t="s">
        <v>68</v>
      </c>
      <c r="B189" s="14">
        <v>45748</v>
      </c>
      <c r="C189" t="s">
        <v>20</v>
      </c>
      <c r="D189">
        <f t="shared" si="12"/>
        <v>1</v>
      </c>
      <c r="E189">
        <f t="shared" si="13"/>
        <v>0</v>
      </c>
      <c r="F189">
        <f t="shared" si="14"/>
        <v>0</v>
      </c>
      <c r="G189" t="s">
        <v>18</v>
      </c>
      <c r="H189">
        <f t="shared" si="15"/>
        <v>1</v>
      </c>
      <c r="I189">
        <f t="shared" si="16"/>
        <v>0</v>
      </c>
      <c r="J189">
        <f t="shared" si="17"/>
        <v>0</v>
      </c>
      <c r="K189">
        <v>72784.800000000003</v>
      </c>
      <c r="L189">
        <v>7932</v>
      </c>
      <c r="M189">
        <v>9.4E-2</v>
      </c>
      <c r="N189">
        <v>74.900000000000006</v>
      </c>
      <c r="O189">
        <v>20</v>
      </c>
      <c r="P189">
        <v>13.62</v>
      </c>
      <c r="Q189">
        <v>0</v>
      </c>
      <c r="R189">
        <v>4.2</v>
      </c>
      <c r="S189">
        <v>712546.38</v>
      </c>
      <c r="T189">
        <v>101480.04</v>
      </c>
    </row>
    <row r="190" spans="1:20">
      <c r="A190" t="s">
        <v>69</v>
      </c>
      <c r="B190" s="14">
        <v>45658</v>
      </c>
      <c r="C190" t="s">
        <v>15</v>
      </c>
      <c r="D190">
        <f t="shared" si="12"/>
        <v>0</v>
      </c>
      <c r="E190">
        <f t="shared" si="13"/>
        <v>0</v>
      </c>
      <c r="F190">
        <f t="shared" si="14"/>
        <v>0</v>
      </c>
      <c r="G190" t="s">
        <v>18</v>
      </c>
      <c r="H190">
        <f t="shared" si="15"/>
        <v>1</v>
      </c>
      <c r="I190">
        <f t="shared" si="16"/>
        <v>0</v>
      </c>
      <c r="J190">
        <f t="shared" si="17"/>
        <v>0</v>
      </c>
      <c r="K190">
        <v>71641.899999999994</v>
      </c>
      <c r="L190">
        <v>3506</v>
      </c>
      <c r="M190">
        <v>0</v>
      </c>
      <c r="N190">
        <v>86.4</v>
      </c>
      <c r="O190">
        <v>11</v>
      </c>
      <c r="P190">
        <v>7.77</v>
      </c>
      <c r="Q190">
        <v>0</v>
      </c>
      <c r="R190">
        <v>4.0999999999999996</v>
      </c>
      <c r="S190">
        <v>625993.82999999996</v>
      </c>
      <c r="T190">
        <v>98960.320000000007</v>
      </c>
    </row>
    <row r="191" spans="1:20">
      <c r="A191" t="s">
        <v>69</v>
      </c>
      <c r="B191" s="14">
        <v>45689</v>
      </c>
      <c r="C191" t="s">
        <v>15</v>
      </c>
      <c r="D191">
        <f t="shared" si="12"/>
        <v>0</v>
      </c>
      <c r="E191">
        <f t="shared" si="13"/>
        <v>0</v>
      </c>
      <c r="F191">
        <f t="shared" si="14"/>
        <v>0</v>
      </c>
      <c r="G191" t="s">
        <v>18</v>
      </c>
      <c r="H191">
        <f t="shared" si="15"/>
        <v>1</v>
      </c>
      <c r="I191">
        <f t="shared" si="16"/>
        <v>0</v>
      </c>
      <c r="J191">
        <f t="shared" si="17"/>
        <v>0</v>
      </c>
      <c r="K191">
        <v>55788.61</v>
      </c>
      <c r="L191">
        <v>2312</v>
      </c>
      <c r="M191">
        <v>5.8000000000000003E-2</v>
      </c>
      <c r="N191">
        <v>91.3</v>
      </c>
      <c r="O191">
        <v>10</v>
      </c>
      <c r="P191">
        <v>1.99</v>
      </c>
      <c r="Q191">
        <v>0</v>
      </c>
      <c r="R191">
        <v>3.8</v>
      </c>
      <c r="S191">
        <v>550962.93000000005</v>
      </c>
      <c r="T191">
        <v>97144.58</v>
      </c>
    </row>
    <row r="192" spans="1:20">
      <c r="A192" t="s">
        <v>69</v>
      </c>
      <c r="B192" s="14">
        <v>45717</v>
      </c>
      <c r="C192" t="s">
        <v>15</v>
      </c>
      <c r="D192">
        <f t="shared" si="12"/>
        <v>0</v>
      </c>
      <c r="E192">
        <f t="shared" si="13"/>
        <v>0</v>
      </c>
      <c r="F192">
        <f t="shared" si="14"/>
        <v>0</v>
      </c>
      <c r="G192" t="s">
        <v>18</v>
      </c>
      <c r="H192">
        <f t="shared" si="15"/>
        <v>1</v>
      </c>
      <c r="I192">
        <f t="shared" si="16"/>
        <v>0</v>
      </c>
      <c r="J192">
        <f t="shared" si="17"/>
        <v>0</v>
      </c>
      <c r="K192">
        <v>37705.879999999997</v>
      </c>
      <c r="L192">
        <v>1268</v>
      </c>
      <c r="M192">
        <v>0.25900000000000001</v>
      </c>
      <c r="N192">
        <v>84.1</v>
      </c>
      <c r="O192">
        <v>9</v>
      </c>
      <c r="P192">
        <v>4.7699999999999996</v>
      </c>
      <c r="Q192">
        <v>0</v>
      </c>
      <c r="R192">
        <v>3.8</v>
      </c>
      <c r="S192">
        <v>443275.59</v>
      </c>
      <c r="T192">
        <v>53544.36</v>
      </c>
    </row>
    <row r="193" spans="1:20">
      <c r="A193" t="s">
        <v>69</v>
      </c>
      <c r="B193" s="14">
        <v>45748</v>
      </c>
      <c r="C193" t="s">
        <v>15</v>
      </c>
      <c r="D193">
        <f t="shared" si="12"/>
        <v>0</v>
      </c>
      <c r="E193">
        <f t="shared" si="13"/>
        <v>0</v>
      </c>
      <c r="F193">
        <f t="shared" si="14"/>
        <v>0</v>
      </c>
      <c r="G193" t="s">
        <v>18</v>
      </c>
      <c r="H193">
        <f t="shared" si="15"/>
        <v>1</v>
      </c>
      <c r="I193">
        <f t="shared" si="16"/>
        <v>0</v>
      </c>
      <c r="J193">
        <f t="shared" si="17"/>
        <v>0</v>
      </c>
      <c r="K193">
        <v>54966.18</v>
      </c>
      <c r="L193">
        <v>4423</v>
      </c>
      <c r="M193">
        <v>0.186</v>
      </c>
      <c r="N193">
        <v>88.7</v>
      </c>
      <c r="O193">
        <v>13</v>
      </c>
      <c r="P193">
        <v>0.2</v>
      </c>
      <c r="Q193">
        <v>0</v>
      </c>
      <c r="R193">
        <v>4.4000000000000004</v>
      </c>
      <c r="S193">
        <v>554012.06999999995</v>
      </c>
      <c r="T193">
        <v>81101.62</v>
      </c>
    </row>
    <row r="194" spans="1:20">
      <c r="A194" t="s">
        <v>70</v>
      </c>
      <c r="B194" s="14">
        <v>45658</v>
      </c>
      <c r="C194" t="s">
        <v>27</v>
      </c>
      <c r="D194">
        <f t="shared" si="12"/>
        <v>0</v>
      </c>
      <c r="E194">
        <f t="shared" si="13"/>
        <v>0</v>
      </c>
      <c r="F194">
        <f t="shared" si="14"/>
        <v>1</v>
      </c>
      <c r="G194" t="s">
        <v>16</v>
      </c>
      <c r="H194">
        <f t="shared" si="15"/>
        <v>0</v>
      </c>
      <c r="I194">
        <f t="shared" si="16"/>
        <v>1</v>
      </c>
      <c r="J194">
        <f t="shared" si="17"/>
        <v>0</v>
      </c>
      <c r="K194">
        <v>81796.740000000005</v>
      </c>
      <c r="L194">
        <v>6177</v>
      </c>
      <c r="M194">
        <v>0.16400000000000001</v>
      </c>
      <c r="N194">
        <v>87.9</v>
      </c>
      <c r="O194">
        <v>14</v>
      </c>
      <c r="P194">
        <v>0.53</v>
      </c>
      <c r="Q194">
        <v>0</v>
      </c>
      <c r="R194">
        <v>3.2</v>
      </c>
      <c r="S194">
        <v>643428.85</v>
      </c>
      <c r="T194">
        <v>94477.63</v>
      </c>
    </row>
    <row r="195" spans="1:20">
      <c r="A195" t="s">
        <v>70</v>
      </c>
      <c r="B195" s="14">
        <v>45689</v>
      </c>
      <c r="C195" t="s">
        <v>27</v>
      </c>
      <c r="D195">
        <f t="shared" ref="D195:D258" si="18">IF(C195="North",1,0)</f>
        <v>0</v>
      </c>
      <c r="E195">
        <f t="shared" ref="E195:E258" si="19">IF(C195="South",1,0)</f>
        <v>0</v>
      </c>
      <c r="F195">
        <f t="shared" ref="F195:F258" si="20">IF(C195="West",1,0)</f>
        <v>1</v>
      </c>
      <c r="G195" t="s">
        <v>16</v>
      </c>
      <c r="H195">
        <f t="shared" ref="H195:H258" si="21">IF(G195="High Street",1,0)</f>
        <v>0</v>
      </c>
      <c r="I195">
        <f t="shared" ref="I195:I258" si="22">IF(G195="Residential",1,0)</f>
        <v>1</v>
      </c>
      <c r="J195">
        <f t="shared" ref="J195:J258" si="23">IF(G195="Airport",1,0)</f>
        <v>0</v>
      </c>
      <c r="K195">
        <v>51133.43</v>
      </c>
      <c r="L195">
        <v>5150</v>
      </c>
      <c r="M195">
        <v>0.15</v>
      </c>
      <c r="N195">
        <v>88.5</v>
      </c>
      <c r="O195">
        <v>12</v>
      </c>
      <c r="P195">
        <v>1.54</v>
      </c>
      <c r="Q195">
        <v>0</v>
      </c>
      <c r="R195">
        <v>3.2</v>
      </c>
      <c r="S195">
        <v>611924.27</v>
      </c>
      <c r="T195">
        <v>115488.75</v>
      </c>
    </row>
    <row r="196" spans="1:20">
      <c r="A196" t="s">
        <v>70</v>
      </c>
      <c r="B196" s="14">
        <v>45717</v>
      </c>
      <c r="C196" t="s">
        <v>27</v>
      </c>
      <c r="D196">
        <f t="shared" si="18"/>
        <v>0</v>
      </c>
      <c r="E196">
        <f t="shared" si="19"/>
        <v>0</v>
      </c>
      <c r="F196">
        <f t="shared" si="20"/>
        <v>1</v>
      </c>
      <c r="G196" t="s">
        <v>16</v>
      </c>
      <c r="H196">
        <f t="shared" si="21"/>
        <v>0</v>
      </c>
      <c r="I196">
        <f t="shared" si="22"/>
        <v>1</v>
      </c>
      <c r="J196">
        <f t="shared" si="23"/>
        <v>0</v>
      </c>
      <c r="K196">
        <v>40220.18</v>
      </c>
      <c r="L196">
        <v>3783</v>
      </c>
      <c r="M196">
        <v>8.8999999999999996E-2</v>
      </c>
      <c r="N196">
        <v>86.6</v>
      </c>
      <c r="O196">
        <v>14</v>
      </c>
      <c r="P196">
        <v>3.63</v>
      </c>
      <c r="Q196">
        <v>0</v>
      </c>
      <c r="R196">
        <v>3.7</v>
      </c>
      <c r="S196">
        <v>559422.02</v>
      </c>
      <c r="T196">
        <v>73528.740000000005</v>
      </c>
    </row>
    <row r="197" spans="1:20">
      <c r="A197" t="s">
        <v>70</v>
      </c>
      <c r="B197" s="14">
        <v>45748</v>
      </c>
      <c r="C197" t="s">
        <v>27</v>
      </c>
      <c r="D197">
        <f t="shared" si="18"/>
        <v>0</v>
      </c>
      <c r="E197">
        <f t="shared" si="19"/>
        <v>0</v>
      </c>
      <c r="F197">
        <f t="shared" si="20"/>
        <v>1</v>
      </c>
      <c r="G197" t="s">
        <v>16</v>
      </c>
      <c r="H197">
        <f t="shared" si="21"/>
        <v>0</v>
      </c>
      <c r="I197">
        <f t="shared" si="22"/>
        <v>1</v>
      </c>
      <c r="J197">
        <f t="shared" si="23"/>
        <v>0</v>
      </c>
      <c r="K197">
        <v>41657.64</v>
      </c>
      <c r="L197">
        <v>3135</v>
      </c>
      <c r="M197">
        <v>0.22900000000000001</v>
      </c>
      <c r="N197">
        <v>85.4</v>
      </c>
      <c r="O197">
        <v>7</v>
      </c>
      <c r="P197">
        <v>13.48</v>
      </c>
      <c r="Q197">
        <v>0</v>
      </c>
      <c r="R197">
        <v>3.92</v>
      </c>
      <c r="S197">
        <v>449465.06</v>
      </c>
      <c r="T197">
        <v>65694.78</v>
      </c>
    </row>
    <row r="198" spans="1:20">
      <c r="A198" t="s">
        <v>71</v>
      </c>
      <c r="B198" s="14">
        <v>45658</v>
      </c>
      <c r="C198" t="s">
        <v>20</v>
      </c>
      <c r="D198">
        <f t="shared" si="18"/>
        <v>1</v>
      </c>
      <c r="E198">
        <f t="shared" si="19"/>
        <v>0</v>
      </c>
      <c r="F198">
        <f t="shared" si="20"/>
        <v>0</v>
      </c>
      <c r="G198" t="s">
        <v>16</v>
      </c>
      <c r="H198">
        <f t="shared" si="21"/>
        <v>0</v>
      </c>
      <c r="I198">
        <f t="shared" si="22"/>
        <v>1</v>
      </c>
      <c r="J198">
        <f t="shared" si="23"/>
        <v>0</v>
      </c>
      <c r="K198">
        <v>71851.45</v>
      </c>
      <c r="L198">
        <v>4970</v>
      </c>
      <c r="M198">
        <v>9.8000000000000004E-2</v>
      </c>
      <c r="N198">
        <v>89.6</v>
      </c>
      <c r="O198">
        <v>11</v>
      </c>
      <c r="P198">
        <v>0.2</v>
      </c>
      <c r="Q198">
        <v>0</v>
      </c>
      <c r="R198">
        <v>4.2</v>
      </c>
      <c r="S198">
        <v>691447.43</v>
      </c>
      <c r="T198">
        <v>114077.69</v>
      </c>
    </row>
    <row r="199" spans="1:20">
      <c r="A199" t="s">
        <v>71</v>
      </c>
      <c r="B199" s="14">
        <v>45689</v>
      </c>
      <c r="C199" t="s">
        <v>20</v>
      </c>
      <c r="D199">
        <f t="shared" si="18"/>
        <v>1</v>
      </c>
      <c r="E199">
        <f t="shared" si="19"/>
        <v>0</v>
      </c>
      <c r="F199">
        <f t="shared" si="20"/>
        <v>0</v>
      </c>
      <c r="G199" t="s">
        <v>16</v>
      </c>
      <c r="H199">
        <f t="shared" si="21"/>
        <v>0</v>
      </c>
      <c r="I199">
        <f t="shared" si="22"/>
        <v>1</v>
      </c>
      <c r="J199">
        <f t="shared" si="23"/>
        <v>0</v>
      </c>
      <c r="K199">
        <v>54002.83</v>
      </c>
      <c r="L199">
        <v>4366</v>
      </c>
      <c r="M199">
        <v>2.7E-2</v>
      </c>
      <c r="N199">
        <v>90.6</v>
      </c>
      <c r="O199">
        <v>15</v>
      </c>
      <c r="P199">
        <v>12.82</v>
      </c>
      <c r="Q199">
        <v>0</v>
      </c>
      <c r="R199">
        <v>4.5999999999999996</v>
      </c>
      <c r="S199">
        <v>574066.61</v>
      </c>
      <c r="T199">
        <v>124674.67</v>
      </c>
    </row>
    <row r="200" spans="1:20">
      <c r="A200" t="s">
        <v>71</v>
      </c>
      <c r="B200" s="14">
        <v>45717</v>
      </c>
      <c r="C200" t="s">
        <v>20</v>
      </c>
      <c r="D200">
        <f t="shared" si="18"/>
        <v>1</v>
      </c>
      <c r="E200">
        <f t="shared" si="19"/>
        <v>0</v>
      </c>
      <c r="F200">
        <f t="shared" si="20"/>
        <v>0</v>
      </c>
      <c r="G200" t="s">
        <v>16</v>
      </c>
      <c r="H200">
        <f t="shared" si="21"/>
        <v>0</v>
      </c>
      <c r="I200">
        <f t="shared" si="22"/>
        <v>1</v>
      </c>
      <c r="J200">
        <f t="shared" si="23"/>
        <v>0</v>
      </c>
      <c r="K200">
        <v>54479.33</v>
      </c>
      <c r="L200">
        <v>5012</v>
      </c>
      <c r="M200">
        <v>0.28399999999999997</v>
      </c>
      <c r="N200">
        <v>86</v>
      </c>
      <c r="O200">
        <v>13</v>
      </c>
      <c r="P200">
        <v>2.2400000000000002</v>
      </c>
      <c r="Q200">
        <v>1</v>
      </c>
      <c r="R200">
        <v>4.3</v>
      </c>
      <c r="S200">
        <v>578949.84</v>
      </c>
      <c r="T200">
        <v>80253.649999999994</v>
      </c>
    </row>
    <row r="201" spans="1:20">
      <c r="A201" t="s">
        <v>71</v>
      </c>
      <c r="B201" s="14">
        <v>45748</v>
      </c>
      <c r="C201" t="s">
        <v>20</v>
      </c>
      <c r="D201">
        <f t="shared" si="18"/>
        <v>1</v>
      </c>
      <c r="E201">
        <f t="shared" si="19"/>
        <v>0</v>
      </c>
      <c r="F201">
        <f t="shared" si="20"/>
        <v>0</v>
      </c>
      <c r="G201" t="s">
        <v>16</v>
      </c>
      <c r="H201">
        <f t="shared" si="21"/>
        <v>0</v>
      </c>
      <c r="I201">
        <f t="shared" si="22"/>
        <v>1</v>
      </c>
      <c r="J201">
        <f t="shared" si="23"/>
        <v>0</v>
      </c>
      <c r="K201">
        <v>61391.8</v>
      </c>
      <c r="L201">
        <v>5575</v>
      </c>
      <c r="M201">
        <v>0.189</v>
      </c>
      <c r="N201">
        <v>90</v>
      </c>
      <c r="O201">
        <v>18</v>
      </c>
      <c r="P201">
        <v>1.8</v>
      </c>
      <c r="Q201">
        <v>0</v>
      </c>
      <c r="R201">
        <v>4.8</v>
      </c>
      <c r="S201">
        <v>735786.64</v>
      </c>
      <c r="T201">
        <v>126540.66</v>
      </c>
    </row>
    <row r="202" spans="1:20">
      <c r="A202" t="s">
        <v>72</v>
      </c>
      <c r="B202" s="14">
        <v>45658</v>
      </c>
      <c r="C202" t="s">
        <v>15</v>
      </c>
      <c r="D202">
        <f t="shared" si="18"/>
        <v>0</v>
      </c>
      <c r="E202">
        <f t="shared" si="19"/>
        <v>0</v>
      </c>
      <c r="F202">
        <f t="shared" si="20"/>
        <v>0</v>
      </c>
      <c r="G202" t="s">
        <v>21</v>
      </c>
      <c r="H202">
        <f t="shared" si="21"/>
        <v>0</v>
      </c>
      <c r="I202">
        <f t="shared" si="22"/>
        <v>0</v>
      </c>
      <c r="J202">
        <f t="shared" si="23"/>
        <v>1</v>
      </c>
      <c r="K202">
        <v>22312.93</v>
      </c>
      <c r="L202">
        <v>5955</v>
      </c>
      <c r="M202">
        <v>0.123</v>
      </c>
      <c r="N202">
        <v>84.2</v>
      </c>
      <c r="O202">
        <v>13</v>
      </c>
      <c r="P202">
        <v>0.41</v>
      </c>
      <c r="Q202">
        <v>1</v>
      </c>
      <c r="R202">
        <v>4.5999999999999996</v>
      </c>
      <c r="S202">
        <v>598904.9</v>
      </c>
      <c r="T202">
        <v>72861</v>
      </c>
    </row>
    <row r="203" spans="1:20">
      <c r="A203" t="s">
        <v>72</v>
      </c>
      <c r="B203" s="14">
        <v>45689</v>
      </c>
      <c r="C203" t="s">
        <v>15</v>
      </c>
      <c r="D203">
        <f t="shared" si="18"/>
        <v>0</v>
      </c>
      <c r="E203">
        <f t="shared" si="19"/>
        <v>0</v>
      </c>
      <c r="F203">
        <f t="shared" si="20"/>
        <v>0</v>
      </c>
      <c r="G203" t="s">
        <v>21</v>
      </c>
      <c r="H203">
        <f t="shared" si="21"/>
        <v>0</v>
      </c>
      <c r="I203">
        <f t="shared" si="22"/>
        <v>0</v>
      </c>
      <c r="J203">
        <f t="shared" si="23"/>
        <v>1</v>
      </c>
      <c r="K203">
        <v>78111.97</v>
      </c>
      <c r="L203">
        <v>6389</v>
      </c>
      <c r="M203">
        <v>0.15</v>
      </c>
      <c r="N203">
        <v>83.9</v>
      </c>
      <c r="O203">
        <v>13</v>
      </c>
      <c r="P203">
        <v>3.05</v>
      </c>
      <c r="Q203">
        <v>0</v>
      </c>
      <c r="R203">
        <v>4.8</v>
      </c>
      <c r="S203">
        <v>787715.51</v>
      </c>
      <c r="T203">
        <v>128969.62</v>
      </c>
    </row>
    <row r="204" spans="1:20">
      <c r="A204" t="s">
        <v>72</v>
      </c>
      <c r="B204" s="14">
        <v>45717</v>
      </c>
      <c r="C204" t="s">
        <v>15</v>
      </c>
      <c r="D204">
        <f t="shared" si="18"/>
        <v>0</v>
      </c>
      <c r="E204">
        <f t="shared" si="19"/>
        <v>0</v>
      </c>
      <c r="F204">
        <f t="shared" si="20"/>
        <v>0</v>
      </c>
      <c r="G204" t="s">
        <v>21</v>
      </c>
      <c r="H204">
        <f t="shared" si="21"/>
        <v>0</v>
      </c>
      <c r="I204">
        <f t="shared" si="22"/>
        <v>0</v>
      </c>
      <c r="J204">
        <f t="shared" si="23"/>
        <v>1</v>
      </c>
      <c r="K204">
        <v>35203.230000000003</v>
      </c>
      <c r="L204">
        <v>6896</v>
      </c>
      <c r="M204">
        <v>3.2000000000000001E-2</v>
      </c>
      <c r="N204">
        <v>80.8</v>
      </c>
      <c r="O204">
        <v>14</v>
      </c>
      <c r="P204">
        <v>8.44</v>
      </c>
      <c r="Q204">
        <v>1</v>
      </c>
      <c r="R204">
        <v>5</v>
      </c>
      <c r="S204">
        <v>607084.92000000004</v>
      </c>
      <c r="T204">
        <v>98558.49</v>
      </c>
    </row>
    <row r="205" spans="1:20">
      <c r="A205" t="s">
        <v>72</v>
      </c>
      <c r="B205" s="14">
        <v>45748</v>
      </c>
      <c r="C205" t="s">
        <v>15</v>
      </c>
      <c r="D205">
        <f t="shared" si="18"/>
        <v>0</v>
      </c>
      <c r="E205">
        <f t="shared" si="19"/>
        <v>0</v>
      </c>
      <c r="F205">
        <f t="shared" si="20"/>
        <v>0</v>
      </c>
      <c r="G205" t="s">
        <v>21</v>
      </c>
      <c r="H205">
        <f t="shared" si="21"/>
        <v>0</v>
      </c>
      <c r="I205">
        <f t="shared" si="22"/>
        <v>0</v>
      </c>
      <c r="J205">
        <f t="shared" si="23"/>
        <v>1</v>
      </c>
      <c r="K205">
        <v>64104.28</v>
      </c>
      <c r="L205">
        <v>6015</v>
      </c>
      <c r="M205">
        <v>0.127</v>
      </c>
      <c r="N205">
        <v>88.7</v>
      </c>
      <c r="O205">
        <v>15</v>
      </c>
      <c r="P205">
        <v>0.78</v>
      </c>
      <c r="Q205">
        <v>0</v>
      </c>
      <c r="R205">
        <v>4</v>
      </c>
      <c r="S205">
        <v>650795.49</v>
      </c>
      <c r="T205">
        <v>103035.89</v>
      </c>
    </row>
    <row r="206" spans="1:20">
      <c r="A206" t="s">
        <v>73</v>
      </c>
      <c r="B206" s="14">
        <v>45658</v>
      </c>
      <c r="C206" t="s">
        <v>15</v>
      </c>
      <c r="D206">
        <f t="shared" si="18"/>
        <v>0</v>
      </c>
      <c r="E206">
        <f t="shared" si="19"/>
        <v>0</v>
      </c>
      <c r="F206">
        <f t="shared" si="20"/>
        <v>0</v>
      </c>
      <c r="G206" t="s">
        <v>28</v>
      </c>
      <c r="H206">
        <f t="shared" si="21"/>
        <v>0</v>
      </c>
      <c r="I206">
        <f t="shared" si="22"/>
        <v>0</v>
      </c>
      <c r="J206">
        <f t="shared" si="23"/>
        <v>0</v>
      </c>
      <c r="K206">
        <v>92090.14</v>
      </c>
      <c r="L206">
        <v>9476</v>
      </c>
      <c r="M206">
        <v>7.0000000000000007E-2</v>
      </c>
      <c r="N206">
        <v>94.3</v>
      </c>
      <c r="O206">
        <v>24</v>
      </c>
      <c r="P206">
        <v>0.87</v>
      </c>
      <c r="Q206">
        <v>0</v>
      </c>
      <c r="R206">
        <v>3.7</v>
      </c>
      <c r="S206">
        <v>825060.52</v>
      </c>
      <c r="T206">
        <v>143613.15</v>
      </c>
    </row>
    <row r="207" spans="1:20">
      <c r="A207" t="s">
        <v>73</v>
      </c>
      <c r="B207" s="14">
        <v>45689</v>
      </c>
      <c r="C207" t="s">
        <v>15</v>
      </c>
      <c r="D207">
        <f t="shared" si="18"/>
        <v>0</v>
      </c>
      <c r="E207">
        <f t="shared" si="19"/>
        <v>0</v>
      </c>
      <c r="F207">
        <f t="shared" si="20"/>
        <v>0</v>
      </c>
      <c r="G207" t="s">
        <v>28</v>
      </c>
      <c r="H207">
        <f t="shared" si="21"/>
        <v>0</v>
      </c>
      <c r="I207">
        <f t="shared" si="22"/>
        <v>0</v>
      </c>
      <c r="J207">
        <f t="shared" si="23"/>
        <v>0</v>
      </c>
      <c r="K207">
        <v>54300.87</v>
      </c>
      <c r="L207">
        <v>7875</v>
      </c>
      <c r="M207">
        <v>0.107</v>
      </c>
      <c r="N207">
        <v>94.1</v>
      </c>
      <c r="O207">
        <v>19</v>
      </c>
      <c r="P207">
        <v>0.95</v>
      </c>
      <c r="Q207">
        <v>0</v>
      </c>
      <c r="R207">
        <v>3.7</v>
      </c>
      <c r="S207">
        <v>795464.47</v>
      </c>
      <c r="T207">
        <v>161150.51999999999</v>
      </c>
    </row>
    <row r="208" spans="1:20">
      <c r="A208" t="s">
        <v>73</v>
      </c>
      <c r="B208" s="14">
        <v>45717</v>
      </c>
      <c r="C208" t="s">
        <v>15</v>
      </c>
      <c r="D208">
        <f t="shared" si="18"/>
        <v>0</v>
      </c>
      <c r="E208">
        <f t="shared" si="19"/>
        <v>0</v>
      </c>
      <c r="F208">
        <f t="shared" si="20"/>
        <v>0</v>
      </c>
      <c r="G208" t="s">
        <v>28</v>
      </c>
      <c r="H208">
        <f t="shared" si="21"/>
        <v>0</v>
      </c>
      <c r="I208">
        <f t="shared" si="22"/>
        <v>0</v>
      </c>
      <c r="J208">
        <f t="shared" si="23"/>
        <v>0</v>
      </c>
      <c r="K208">
        <v>37983.35</v>
      </c>
      <c r="L208">
        <v>9283</v>
      </c>
      <c r="M208">
        <v>0.14899999999999999</v>
      </c>
      <c r="N208">
        <v>83.2</v>
      </c>
      <c r="O208">
        <v>19</v>
      </c>
      <c r="P208">
        <v>3.82</v>
      </c>
      <c r="Q208">
        <v>0</v>
      </c>
      <c r="R208">
        <v>3.7</v>
      </c>
      <c r="S208">
        <v>671868.59</v>
      </c>
      <c r="T208">
        <v>71003.28</v>
      </c>
    </row>
    <row r="209" spans="1:20">
      <c r="A209" t="s">
        <v>73</v>
      </c>
      <c r="B209" s="14">
        <v>45748</v>
      </c>
      <c r="C209" t="s">
        <v>15</v>
      </c>
      <c r="D209">
        <f t="shared" si="18"/>
        <v>0</v>
      </c>
      <c r="E209">
        <f t="shared" si="19"/>
        <v>0</v>
      </c>
      <c r="F209">
        <f t="shared" si="20"/>
        <v>0</v>
      </c>
      <c r="G209" t="s">
        <v>28</v>
      </c>
      <c r="H209">
        <f t="shared" si="21"/>
        <v>0</v>
      </c>
      <c r="I209">
        <f t="shared" si="22"/>
        <v>0</v>
      </c>
      <c r="J209">
        <f t="shared" si="23"/>
        <v>0</v>
      </c>
      <c r="K209">
        <v>56413.83</v>
      </c>
      <c r="L209">
        <v>8303</v>
      </c>
      <c r="M209">
        <v>0.11600000000000001</v>
      </c>
      <c r="N209">
        <v>93.6</v>
      </c>
      <c r="O209">
        <v>18</v>
      </c>
      <c r="P209">
        <v>2.7</v>
      </c>
      <c r="Q209">
        <v>0</v>
      </c>
      <c r="R209">
        <v>3.7</v>
      </c>
      <c r="S209">
        <v>675917.63</v>
      </c>
      <c r="T209">
        <v>112564.75</v>
      </c>
    </row>
    <row r="210" spans="1:20">
      <c r="A210" t="s">
        <v>74</v>
      </c>
      <c r="B210" s="14">
        <v>45658</v>
      </c>
      <c r="C210" t="s">
        <v>15</v>
      </c>
      <c r="D210">
        <f t="shared" si="18"/>
        <v>0</v>
      </c>
      <c r="E210">
        <f t="shared" si="19"/>
        <v>0</v>
      </c>
      <c r="F210">
        <f t="shared" si="20"/>
        <v>0</v>
      </c>
      <c r="G210" t="s">
        <v>18</v>
      </c>
      <c r="H210">
        <f t="shared" si="21"/>
        <v>1</v>
      </c>
      <c r="I210">
        <f t="shared" si="22"/>
        <v>0</v>
      </c>
      <c r="J210">
        <f t="shared" si="23"/>
        <v>0</v>
      </c>
      <c r="K210">
        <v>63457.19</v>
      </c>
      <c r="L210">
        <v>10125</v>
      </c>
      <c r="M210">
        <v>9.7000000000000003E-2</v>
      </c>
      <c r="N210">
        <v>87</v>
      </c>
      <c r="O210">
        <v>24</v>
      </c>
      <c r="P210">
        <v>3.84</v>
      </c>
      <c r="Q210">
        <v>1</v>
      </c>
      <c r="R210">
        <v>3.7</v>
      </c>
      <c r="S210">
        <v>810446.53</v>
      </c>
      <c r="T210">
        <v>200575.34</v>
      </c>
    </row>
    <row r="211" spans="1:20">
      <c r="A211" t="s">
        <v>74</v>
      </c>
      <c r="B211" s="14">
        <v>45689</v>
      </c>
      <c r="C211" t="s">
        <v>15</v>
      </c>
      <c r="D211">
        <f t="shared" si="18"/>
        <v>0</v>
      </c>
      <c r="E211">
        <f t="shared" si="19"/>
        <v>0</v>
      </c>
      <c r="F211">
        <f t="shared" si="20"/>
        <v>0</v>
      </c>
      <c r="G211" t="s">
        <v>18</v>
      </c>
      <c r="H211">
        <f t="shared" si="21"/>
        <v>1</v>
      </c>
      <c r="I211">
        <f t="shared" si="22"/>
        <v>0</v>
      </c>
      <c r="J211">
        <f t="shared" si="23"/>
        <v>0</v>
      </c>
      <c r="K211">
        <v>62949.7</v>
      </c>
      <c r="L211">
        <v>9458</v>
      </c>
      <c r="M211">
        <v>0.17100000000000001</v>
      </c>
      <c r="N211">
        <v>84.9</v>
      </c>
      <c r="O211">
        <v>19</v>
      </c>
      <c r="P211">
        <v>5.09</v>
      </c>
      <c r="Q211">
        <v>0</v>
      </c>
      <c r="R211">
        <v>3.3</v>
      </c>
      <c r="S211">
        <v>691288.19</v>
      </c>
      <c r="T211">
        <v>159074.14000000001</v>
      </c>
    </row>
    <row r="212" spans="1:20">
      <c r="A212" t="s">
        <v>74</v>
      </c>
      <c r="B212" s="14">
        <v>45717</v>
      </c>
      <c r="C212" t="s">
        <v>15</v>
      </c>
      <c r="D212">
        <f t="shared" si="18"/>
        <v>0</v>
      </c>
      <c r="E212">
        <f t="shared" si="19"/>
        <v>0</v>
      </c>
      <c r="F212">
        <f t="shared" si="20"/>
        <v>0</v>
      </c>
      <c r="G212" t="s">
        <v>18</v>
      </c>
      <c r="H212">
        <f t="shared" si="21"/>
        <v>1</v>
      </c>
      <c r="I212">
        <f t="shared" si="22"/>
        <v>0</v>
      </c>
      <c r="J212">
        <f t="shared" si="23"/>
        <v>0</v>
      </c>
      <c r="K212">
        <v>107970.19</v>
      </c>
      <c r="L212">
        <v>12870</v>
      </c>
      <c r="M212">
        <v>2.9000000000000001E-2</v>
      </c>
      <c r="N212">
        <v>91.7</v>
      </c>
      <c r="O212">
        <v>31</v>
      </c>
      <c r="P212">
        <v>3.82</v>
      </c>
      <c r="Q212">
        <v>1</v>
      </c>
      <c r="R212">
        <v>3.7</v>
      </c>
      <c r="S212">
        <v>946833.54</v>
      </c>
      <c r="T212">
        <v>184540.31</v>
      </c>
    </row>
    <row r="213" spans="1:20">
      <c r="A213" t="s">
        <v>74</v>
      </c>
      <c r="B213" s="14">
        <v>45748</v>
      </c>
      <c r="C213" t="s">
        <v>15</v>
      </c>
      <c r="D213">
        <f t="shared" si="18"/>
        <v>0</v>
      </c>
      <c r="E213">
        <f t="shared" si="19"/>
        <v>0</v>
      </c>
      <c r="F213">
        <f t="shared" si="20"/>
        <v>0</v>
      </c>
      <c r="G213" t="s">
        <v>18</v>
      </c>
      <c r="H213">
        <f t="shared" si="21"/>
        <v>1</v>
      </c>
      <c r="I213">
        <f t="shared" si="22"/>
        <v>0</v>
      </c>
      <c r="J213">
        <f t="shared" si="23"/>
        <v>0</v>
      </c>
      <c r="K213">
        <v>49405.75</v>
      </c>
      <c r="L213">
        <v>9752</v>
      </c>
      <c r="M213">
        <v>9.2999999999999999E-2</v>
      </c>
      <c r="N213">
        <v>87</v>
      </c>
      <c r="O213">
        <v>21</v>
      </c>
      <c r="P213">
        <v>12.28</v>
      </c>
      <c r="Q213">
        <v>0</v>
      </c>
      <c r="R213">
        <v>4.0999999999999996</v>
      </c>
      <c r="S213">
        <v>761963.23</v>
      </c>
      <c r="T213">
        <v>150113.60999999999</v>
      </c>
    </row>
    <row r="214" spans="1:20">
      <c r="A214" t="s">
        <v>75</v>
      </c>
      <c r="B214" s="14">
        <v>45658</v>
      </c>
      <c r="C214" t="s">
        <v>27</v>
      </c>
      <c r="D214">
        <f t="shared" si="18"/>
        <v>0</v>
      </c>
      <c r="E214">
        <f t="shared" si="19"/>
        <v>0</v>
      </c>
      <c r="F214">
        <f t="shared" si="20"/>
        <v>1</v>
      </c>
      <c r="G214" t="s">
        <v>16</v>
      </c>
      <c r="H214">
        <f t="shared" si="21"/>
        <v>0</v>
      </c>
      <c r="I214">
        <f t="shared" si="22"/>
        <v>1</v>
      </c>
      <c r="J214">
        <f t="shared" si="23"/>
        <v>0</v>
      </c>
      <c r="K214">
        <v>50887.46</v>
      </c>
      <c r="L214">
        <v>9505</v>
      </c>
      <c r="M214">
        <v>9.0999999999999998E-2</v>
      </c>
      <c r="N214">
        <v>89.7</v>
      </c>
      <c r="O214">
        <v>25</v>
      </c>
      <c r="P214">
        <v>2.8</v>
      </c>
      <c r="Q214">
        <v>0</v>
      </c>
      <c r="R214">
        <v>4.3</v>
      </c>
      <c r="S214">
        <v>812152.6</v>
      </c>
      <c r="T214">
        <v>138419.43</v>
      </c>
    </row>
    <row r="215" spans="1:20">
      <c r="A215" t="s">
        <v>75</v>
      </c>
      <c r="B215" s="14">
        <v>45689</v>
      </c>
      <c r="C215" t="s">
        <v>27</v>
      </c>
      <c r="D215">
        <f t="shared" si="18"/>
        <v>0</v>
      </c>
      <c r="E215">
        <f t="shared" si="19"/>
        <v>0</v>
      </c>
      <c r="F215">
        <f t="shared" si="20"/>
        <v>1</v>
      </c>
      <c r="G215" t="s">
        <v>16</v>
      </c>
      <c r="H215">
        <f t="shared" si="21"/>
        <v>0</v>
      </c>
      <c r="I215">
        <f t="shared" si="22"/>
        <v>1</v>
      </c>
      <c r="J215">
        <f t="shared" si="23"/>
        <v>0</v>
      </c>
      <c r="K215">
        <v>41819.449999999997</v>
      </c>
      <c r="L215">
        <v>9412</v>
      </c>
      <c r="M215">
        <v>0.15</v>
      </c>
      <c r="N215">
        <v>91</v>
      </c>
      <c r="O215">
        <v>22</v>
      </c>
      <c r="P215">
        <v>3.67</v>
      </c>
      <c r="Q215">
        <v>0</v>
      </c>
      <c r="R215">
        <v>4.2</v>
      </c>
      <c r="S215">
        <v>804975.5</v>
      </c>
      <c r="T215">
        <v>140054.5</v>
      </c>
    </row>
    <row r="216" spans="1:20">
      <c r="A216" t="s">
        <v>75</v>
      </c>
      <c r="B216" s="14">
        <v>45717</v>
      </c>
      <c r="C216" t="s">
        <v>27</v>
      </c>
      <c r="D216">
        <f t="shared" si="18"/>
        <v>0</v>
      </c>
      <c r="E216">
        <f t="shared" si="19"/>
        <v>0</v>
      </c>
      <c r="F216">
        <f t="shared" si="20"/>
        <v>1</v>
      </c>
      <c r="G216" t="s">
        <v>16</v>
      </c>
      <c r="H216">
        <f t="shared" si="21"/>
        <v>0</v>
      </c>
      <c r="I216">
        <f t="shared" si="22"/>
        <v>1</v>
      </c>
      <c r="J216">
        <f t="shared" si="23"/>
        <v>0</v>
      </c>
      <c r="K216">
        <v>35296.54</v>
      </c>
      <c r="L216">
        <v>9644</v>
      </c>
      <c r="M216">
        <v>0</v>
      </c>
      <c r="N216">
        <v>88</v>
      </c>
      <c r="O216">
        <v>22</v>
      </c>
      <c r="P216">
        <v>2.81</v>
      </c>
      <c r="Q216">
        <v>0</v>
      </c>
      <c r="R216">
        <v>4.7</v>
      </c>
      <c r="S216">
        <v>752321.72</v>
      </c>
      <c r="T216">
        <v>137788.51</v>
      </c>
    </row>
    <row r="217" spans="1:20">
      <c r="A217" t="s">
        <v>75</v>
      </c>
      <c r="B217" s="14">
        <v>45748</v>
      </c>
      <c r="C217" t="s">
        <v>27</v>
      </c>
      <c r="D217">
        <f t="shared" si="18"/>
        <v>0</v>
      </c>
      <c r="E217">
        <f t="shared" si="19"/>
        <v>0</v>
      </c>
      <c r="F217">
        <f t="shared" si="20"/>
        <v>1</v>
      </c>
      <c r="G217" t="s">
        <v>16</v>
      </c>
      <c r="H217">
        <f t="shared" si="21"/>
        <v>0</v>
      </c>
      <c r="I217">
        <f t="shared" si="22"/>
        <v>1</v>
      </c>
      <c r="J217">
        <f t="shared" si="23"/>
        <v>0</v>
      </c>
      <c r="K217">
        <v>47391.09</v>
      </c>
      <c r="L217">
        <v>11224</v>
      </c>
      <c r="M217">
        <v>0.14699999999999999</v>
      </c>
      <c r="N217">
        <v>88.4</v>
      </c>
      <c r="O217">
        <v>25</v>
      </c>
      <c r="P217">
        <v>2.44</v>
      </c>
      <c r="Q217">
        <v>0</v>
      </c>
      <c r="R217">
        <v>4.9000000000000004</v>
      </c>
      <c r="S217">
        <v>836908.24</v>
      </c>
      <c r="T217">
        <v>141090.26</v>
      </c>
    </row>
    <row r="218" spans="1:20">
      <c r="A218" t="s">
        <v>76</v>
      </c>
      <c r="B218" s="14">
        <v>45658</v>
      </c>
      <c r="C218" t="s">
        <v>20</v>
      </c>
      <c r="D218">
        <f t="shared" si="18"/>
        <v>1</v>
      </c>
      <c r="E218">
        <f t="shared" si="19"/>
        <v>0</v>
      </c>
      <c r="F218">
        <f t="shared" si="20"/>
        <v>0</v>
      </c>
      <c r="G218" t="s">
        <v>21</v>
      </c>
      <c r="H218">
        <f t="shared" si="21"/>
        <v>0</v>
      </c>
      <c r="I218">
        <f t="shared" si="22"/>
        <v>0</v>
      </c>
      <c r="J218">
        <f t="shared" si="23"/>
        <v>1</v>
      </c>
      <c r="K218">
        <v>69180.539999999994</v>
      </c>
      <c r="L218">
        <v>5394</v>
      </c>
      <c r="M218">
        <v>0.126</v>
      </c>
      <c r="N218">
        <v>82.9</v>
      </c>
      <c r="O218">
        <v>12</v>
      </c>
      <c r="P218">
        <v>3.27</v>
      </c>
      <c r="Q218">
        <v>0</v>
      </c>
      <c r="R218">
        <v>3.3</v>
      </c>
      <c r="S218">
        <v>674289.1</v>
      </c>
      <c r="T218">
        <v>117773.79</v>
      </c>
    </row>
    <row r="219" spans="1:20">
      <c r="A219" t="s">
        <v>76</v>
      </c>
      <c r="B219" s="14">
        <v>45689</v>
      </c>
      <c r="C219" t="s">
        <v>20</v>
      </c>
      <c r="D219">
        <f t="shared" si="18"/>
        <v>1</v>
      </c>
      <c r="E219">
        <f t="shared" si="19"/>
        <v>0</v>
      </c>
      <c r="F219">
        <f t="shared" si="20"/>
        <v>0</v>
      </c>
      <c r="G219" t="s">
        <v>21</v>
      </c>
      <c r="H219">
        <f t="shared" si="21"/>
        <v>0</v>
      </c>
      <c r="I219">
        <f t="shared" si="22"/>
        <v>0</v>
      </c>
      <c r="J219">
        <f t="shared" si="23"/>
        <v>1</v>
      </c>
      <c r="K219">
        <v>33987.33</v>
      </c>
      <c r="L219">
        <v>5014</v>
      </c>
      <c r="M219">
        <v>0.246</v>
      </c>
      <c r="N219">
        <v>94.3</v>
      </c>
      <c r="O219">
        <v>17</v>
      </c>
      <c r="P219">
        <v>10.34</v>
      </c>
      <c r="Q219">
        <v>0</v>
      </c>
      <c r="R219">
        <v>3.9</v>
      </c>
      <c r="S219">
        <v>622892.42000000004</v>
      </c>
      <c r="T219">
        <v>101032.52</v>
      </c>
    </row>
    <row r="220" spans="1:20">
      <c r="A220" t="s">
        <v>76</v>
      </c>
      <c r="B220" s="14">
        <v>45717</v>
      </c>
      <c r="C220" t="s">
        <v>20</v>
      </c>
      <c r="D220">
        <f t="shared" si="18"/>
        <v>1</v>
      </c>
      <c r="E220">
        <f t="shared" si="19"/>
        <v>0</v>
      </c>
      <c r="F220">
        <f t="shared" si="20"/>
        <v>0</v>
      </c>
      <c r="G220" t="s">
        <v>21</v>
      </c>
      <c r="H220">
        <f t="shared" si="21"/>
        <v>0</v>
      </c>
      <c r="I220">
        <f t="shared" si="22"/>
        <v>0</v>
      </c>
      <c r="J220">
        <f t="shared" si="23"/>
        <v>1</v>
      </c>
      <c r="K220">
        <v>58785.33</v>
      </c>
      <c r="L220">
        <v>4467</v>
      </c>
      <c r="M220">
        <v>0.22900000000000001</v>
      </c>
      <c r="N220">
        <v>90.7</v>
      </c>
      <c r="O220">
        <v>14</v>
      </c>
      <c r="P220">
        <v>1.92</v>
      </c>
      <c r="Q220">
        <v>0</v>
      </c>
      <c r="R220">
        <v>3.7</v>
      </c>
      <c r="S220">
        <v>673348.56</v>
      </c>
      <c r="T220">
        <v>69464.59</v>
      </c>
    </row>
    <row r="221" spans="1:20">
      <c r="A221" t="s">
        <v>76</v>
      </c>
      <c r="B221" s="14">
        <v>45748</v>
      </c>
      <c r="C221" t="s">
        <v>20</v>
      </c>
      <c r="D221">
        <f t="shared" si="18"/>
        <v>1</v>
      </c>
      <c r="E221">
        <f t="shared" si="19"/>
        <v>0</v>
      </c>
      <c r="F221">
        <f t="shared" si="20"/>
        <v>0</v>
      </c>
      <c r="G221" t="s">
        <v>21</v>
      </c>
      <c r="H221">
        <f t="shared" si="21"/>
        <v>0</v>
      </c>
      <c r="I221">
        <f t="shared" si="22"/>
        <v>0</v>
      </c>
      <c r="J221">
        <f t="shared" si="23"/>
        <v>1</v>
      </c>
      <c r="K221">
        <v>16451.849999999999</v>
      </c>
      <c r="L221">
        <v>4678</v>
      </c>
      <c r="M221">
        <v>0.13300000000000001</v>
      </c>
      <c r="N221">
        <v>95.9</v>
      </c>
      <c r="O221">
        <v>11</v>
      </c>
      <c r="P221">
        <v>3.1</v>
      </c>
      <c r="Q221">
        <v>0</v>
      </c>
      <c r="R221">
        <v>3.9</v>
      </c>
      <c r="S221">
        <v>606278.30000000005</v>
      </c>
      <c r="T221">
        <v>102213.26</v>
      </c>
    </row>
    <row r="222" spans="1:20">
      <c r="A222" t="s">
        <v>77</v>
      </c>
      <c r="B222" s="14">
        <v>45658</v>
      </c>
      <c r="C222" t="s">
        <v>15</v>
      </c>
      <c r="D222">
        <f t="shared" si="18"/>
        <v>0</v>
      </c>
      <c r="E222">
        <f t="shared" si="19"/>
        <v>0</v>
      </c>
      <c r="F222">
        <f t="shared" si="20"/>
        <v>0</v>
      </c>
      <c r="G222" t="s">
        <v>18</v>
      </c>
      <c r="H222">
        <f t="shared" si="21"/>
        <v>1</v>
      </c>
      <c r="I222">
        <f t="shared" si="22"/>
        <v>0</v>
      </c>
      <c r="J222">
        <f t="shared" si="23"/>
        <v>0</v>
      </c>
      <c r="K222">
        <v>53367.73</v>
      </c>
      <c r="L222">
        <v>7291</v>
      </c>
      <c r="M222">
        <v>0.14599999999999999</v>
      </c>
      <c r="N222">
        <v>90.6</v>
      </c>
      <c r="O222">
        <v>18</v>
      </c>
      <c r="P222">
        <v>6.34</v>
      </c>
      <c r="Q222">
        <v>1</v>
      </c>
      <c r="R222">
        <v>3.8</v>
      </c>
      <c r="S222">
        <v>712219.81</v>
      </c>
      <c r="T222">
        <v>85906.54</v>
      </c>
    </row>
    <row r="223" spans="1:20">
      <c r="A223" t="s">
        <v>77</v>
      </c>
      <c r="B223" s="14">
        <v>45689</v>
      </c>
      <c r="C223" t="s">
        <v>15</v>
      </c>
      <c r="D223">
        <f t="shared" si="18"/>
        <v>0</v>
      </c>
      <c r="E223">
        <f t="shared" si="19"/>
        <v>0</v>
      </c>
      <c r="F223">
        <f t="shared" si="20"/>
        <v>0</v>
      </c>
      <c r="G223" t="s">
        <v>18</v>
      </c>
      <c r="H223">
        <f t="shared" si="21"/>
        <v>1</v>
      </c>
      <c r="I223">
        <f t="shared" si="22"/>
        <v>0</v>
      </c>
      <c r="J223">
        <f t="shared" si="23"/>
        <v>0</v>
      </c>
      <c r="K223">
        <v>27194.639999999999</v>
      </c>
      <c r="L223">
        <v>7404</v>
      </c>
      <c r="M223">
        <v>8.7999999999999995E-2</v>
      </c>
      <c r="N223">
        <v>90.2</v>
      </c>
      <c r="O223">
        <v>18</v>
      </c>
      <c r="P223">
        <v>1.2</v>
      </c>
      <c r="Q223">
        <v>0</v>
      </c>
      <c r="R223">
        <v>3.4</v>
      </c>
      <c r="S223">
        <v>672670.54</v>
      </c>
      <c r="T223">
        <v>132684.18</v>
      </c>
    </row>
    <row r="224" spans="1:20">
      <c r="A224" t="s">
        <v>77</v>
      </c>
      <c r="B224" s="14">
        <v>45717</v>
      </c>
      <c r="C224" t="s">
        <v>15</v>
      </c>
      <c r="D224">
        <f t="shared" si="18"/>
        <v>0</v>
      </c>
      <c r="E224">
        <f t="shared" si="19"/>
        <v>0</v>
      </c>
      <c r="F224">
        <f t="shared" si="20"/>
        <v>0</v>
      </c>
      <c r="G224" t="s">
        <v>18</v>
      </c>
      <c r="H224">
        <f t="shared" si="21"/>
        <v>1</v>
      </c>
      <c r="I224">
        <f t="shared" si="22"/>
        <v>0</v>
      </c>
      <c r="J224">
        <f t="shared" si="23"/>
        <v>0</v>
      </c>
      <c r="K224">
        <v>66962.740000000005</v>
      </c>
      <c r="L224">
        <v>7880</v>
      </c>
      <c r="M224">
        <v>0.11600000000000001</v>
      </c>
      <c r="N224">
        <v>90.4</v>
      </c>
      <c r="O224">
        <v>19</v>
      </c>
      <c r="P224">
        <v>4.5</v>
      </c>
      <c r="Q224">
        <v>0</v>
      </c>
      <c r="R224">
        <v>3.3</v>
      </c>
      <c r="S224">
        <v>732667.92</v>
      </c>
      <c r="T224">
        <v>128654.46</v>
      </c>
    </row>
    <row r="225" spans="1:20">
      <c r="A225" t="s">
        <v>77</v>
      </c>
      <c r="B225" s="14">
        <v>45748</v>
      </c>
      <c r="C225" t="s">
        <v>15</v>
      </c>
      <c r="D225">
        <f t="shared" si="18"/>
        <v>0</v>
      </c>
      <c r="E225">
        <f t="shared" si="19"/>
        <v>0</v>
      </c>
      <c r="F225">
        <f t="shared" si="20"/>
        <v>0</v>
      </c>
      <c r="G225" t="s">
        <v>18</v>
      </c>
      <c r="H225">
        <f t="shared" si="21"/>
        <v>1</v>
      </c>
      <c r="I225">
        <f t="shared" si="22"/>
        <v>0</v>
      </c>
      <c r="J225">
        <f t="shared" si="23"/>
        <v>0</v>
      </c>
      <c r="K225">
        <v>73540.990000000005</v>
      </c>
      <c r="L225">
        <v>8773</v>
      </c>
      <c r="M225">
        <v>3.5000000000000003E-2</v>
      </c>
      <c r="N225">
        <v>84.4</v>
      </c>
      <c r="O225">
        <v>21</v>
      </c>
      <c r="P225">
        <v>6.68</v>
      </c>
      <c r="Q225">
        <v>0</v>
      </c>
      <c r="R225">
        <v>3.6</v>
      </c>
      <c r="S225">
        <v>723531.4</v>
      </c>
      <c r="T225">
        <v>108794.85</v>
      </c>
    </row>
    <row r="226" spans="1:20">
      <c r="A226" t="s">
        <v>78</v>
      </c>
      <c r="B226" s="14">
        <v>45658</v>
      </c>
      <c r="C226" t="s">
        <v>15</v>
      </c>
      <c r="D226">
        <f t="shared" si="18"/>
        <v>0</v>
      </c>
      <c r="E226">
        <f t="shared" si="19"/>
        <v>0</v>
      </c>
      <c r="F226">
        <f t="shared" si="20"/>
        <v>0</v>
      </c>
      <c r="G226" t="s">
        <v>28</v>
      </c>
      <c r="H226">
        <f t="shared" si="21"/>
        <v>0</v>
      </c>
      <c r="I226">
        <f t="shared" si="22"/>
        <v>0</v>
      </c>
      <c r="J226">
        <f t="shared" si="23"/>
        <v>0</v>
      </c>
      <c r="K226">
        <v>68212.289999999994</v>
      </c>
      <c r="L226">
        <v>4713</v>
      </c>
      <c r="M226">
        <v>0.19800000000000001</v>
      </c>
      <c r="N226">
        <v>82.6</v>
      </c>
      <c r="O226">
        <v>15</v>
      </c>
      <c r="P226">
        <v>4.07</v>
      </c>
      <c r="Q226">
        <v>1</v>
      </c>
      <c r="R226">
        <v>3</v>
      </c>
      <c r="S226">
        <v>641564.6</v>
      </c>
      <c r="T226">
        <v>90468.96</v>
      </c>
    </row>
    <row r="227" spans="1:20">
      <c r="A227" t="s">
        <v>78</v>
      </c>
      <c r="B227" s="14">
        <v>45689</v>
      </c>
      <c r="C227" t="s">
        <v>15</v>
      </c>
      <c r="D227">
        <f t="shared" si="18"/>
        <v>0</v>
      </c>
      <c r="E227">
        <f t="shared" si="19"/>
        <v>0</v>
      </c>
      <c r="F227">
        <f t="shared" si="20"/>
        <v>0</v>
      </c>
      <c r="G227" t="s">
        <v>28</v>
      </c>
      <c r="H227">
        <f t="shared" si="21"/>
        <v>0</v>
      </c>
      <c r="I227">
        <f t="shared" si="22"/>
        <v>0</v>
      </c>
      <c r="J227">
        <f t="shared" si="23"/>
        <v>0</v>
      </c>
      <c r="K227">
        <v>57225.98</v>
      </c>
      <c r="L227">
        <v>2842</v>
      </c>
      <c r="M227">
        <v>0.112</v>
      </c>
      <c r="N227">
        <v>79.5</v>
      </c>
      <c r="O227">
        <v>10</v>
      </c>
      <c r="P227">
        <v>5.45</v>
      </c>
      <c r="Q227">
        <v>0</v>
      </c>
      <c r="R227">
        <v>3.4</v>
      </c>
      <c r="S227">
        <v>536545.49</v>
      </c>
      <c r="T227">
        <v>97917.45</v>
      </c>
    </row>
    <row r="228" spans="1:20">
      <c r="A228" t="s">
        <v>78</v>
      </c>
      <c r="B228" s="14">
        <v>45717</v>
      </c>
      <c r="C228" t="s">
        <v>15</v>
      </c>
      <c r="D228">
        <f t="shared" si="18"/>
        <v>0</v>
      </c>
      <c r="E228">
        <f t="shared" si="19"/>
        <v>0</v>
      </c>
      <c r="F228">
        <f t="shared" si="20"/>
        <v>0</v>
      </c>
      <c r="G228" t="s">
        <v>28</v>
      </c>
      <c r="H228">
        <f t="shared" si="21"/>
        <v>0</v>
      </c>
      <c r="I228">
        <f t="shared" si="22"/>
        <v>0</v>
      </c>
      <c r="J228">
        <f t="shared" si="23"/>
        <v>0</v>
      </c>
      <c r="K228">
        <v>42932.02</v>
      </c>
      <c r="L228">
        <v>3872</v>
      </c>
      <c r="M228">
        <v>0.17100000000000001</v>
      </c>
      <c r="N228">
        <v>83.2</v>
      </c>
      <c r="O228">
        <v>12</v>
      </c>
      <c r="P228">
        <v>15.58</v>
      </c>
      <c r="Q228">
        <v>0</v>
      </c>
      <c r="R228">
        <v>3.3</v>
      </c>
      <c r="S228">
        <v>527681.56000000006</v>
      </c>
      <c r="T228">
        <v>63153.05</v>
      </c>
    </row>
    <row r="229" spans="1:20">
      <c r="A229" t="s">
        <v>78</v>
      </c>
      <c r="B229" s="14">
        <v>45748</v>
      </c>
      <c r="C229" t="s">
        <v>15</v>
      </c>
      <c r="D229">
        <f t="shared" si="18"/>
        <v>0</v>
      </c>
      <c r="E229">
        <f t="shared" si="19"/>
        <v>0</v>
      </c>
      <c r="F229">
        <f t="shared" si="20"/>
        <v>0</v>
      </c>
      <c r="G229" t="s">
        <v>28</v>
      </c>
      <c r="H229">
        <f t="shared" si="21"/>
        <v>0</v>
      </c>
      <c r="I229">
        <f t="shared" si="22"/>
        <v>0</v>
      </c>
      <c r="J229">
        <f t="shared" si="23"/>
        <v>0</v>
      </c>
      <c r="K229">
        <v>39341.449999999997</v>
      </c>
      <c r="L229">
        <v>1375</v>
      </c>
      <c r="M229">
        <v>9.2999999999999999E-2</v>
      </c>
      <c r="N229">
        <v>95</v>
      </c>
      <c r="O229">
        <v>5</v>
      </c>
      <c r="P229">
        <v>5.32</v>
      </c>
      <c r="Q229">
        <v>0</v>
      </c>
      <c r="R229">
        <v>3.92</v>
      </c>
      <c r="S229">
        <v>529598.93999999994</v>
      </c>
      <c r="T229">
        <v>84334.33</v>
      </c>
    </row>
    <row r="230" spans="1:20">
      <c r="A230" t="s">
        <v>79</v>
      </c>
      <c r="B230" s="14">
        <v>45658</v>
      </c>
      <c r="C230" t="s">
        <v>15</v>
      </c>
      <c r="D230">
        <f t="shared" si="18"/>
        <v>0</v>
      </c>
      <c r="E230">
        <f t="shared" si="19"/>
        <v>0</v>
      </c>
      <c r="F230">
        <f t="shared" si="20"/>
        <v>0</v>
      </c>
      <c r="G230" t="s">
        <v>18</v>
      </c>
      <c r="H230">
        <f t="shared" si="21"/>
        <v>1</v>
      </c>
      <c r="I230">
        <f t="shared" si="22"/>
        <v>0</v>
      </c>
      <c r="J230">
        <f t="shared" si="23"/>
        <v>0</v>
      </c>
      <c r="K230">
        <v>37324.230000000003</v>
      </c>
      <c r="L230">
        <v>5957</v>
      </c>
      <c r="M230">
        <v>7.0999999999999994E-2</v>
      </c>
      <c r="N230">
        <v>85.9</v>
      </c>
      <c r="O230">
        <v>12</v>
      </c>
      <c r="P230">
        <v>0.37</v>
      </c>
      <c r="Q230">
        <v>0</v>
      </c>
      <c r="R230">
        <v>3.8</v>
      </c>
      <c r="S230">
        <v>570963.31000000006</v>
      </c>
      <c r="T230">
        <v>87342.25</v>
      </c>
    </row>
    <row r="231" spans="1:20">
      <c r="A231" t="s">
        <v>79</v>
      </c>
      <c r="B231" s="14">
        <v>45689</v>
      </c>
      <c r="C231" t="s">
        <v>15</v>
      </c>
      <c r="D231">
        <f t="shared" si="18"/>
        <v>0</v>
      </c>
      <c r="E231">
        <f t="shared" si="19"/>
        <v>0</v>
      </c>
      <c r="F231">
        <f t="shared" si="20"/>
        <v>0</v>
      </c>
      <c r="G231" t="s">
        <v>18</v>
      </c>
      <c r="H231">
        <f t="shared" si="21"/>
        <v>1</v>
      </c>
      <c r="I231">
        <f t="shared" si="22"/>
        <v>0</v>
      </c>
      <c r="J231">
        <f t="shared" si="23"/>
        <v>0</v>
      </c>
      <c r="K231">
        <v>113736</v>
      </c>
      <c r="L231">
        <v>8961</v>
      </c>
      <c r="M231">
        <v>0.20200000000000001</v>
      </c>
      <c r="N231">
        <v>86.2</v>
      </c>
      <c r="O231">
        <v>24</v>
      </c>
      <c r="P231">
        <v>21.63</v>
      </c>
      <c r="Q231">
        <v>0</v>
      </c>
      <c r="R231">
        <v>4</v>
      </c>
      <c r="S231">
        <v>870937.4</v>
      </c>
      <c r="T231">
        <v>175282.74</v>
      </c>
    </row>
    <row r="232" spans="1:20">
      <c r="A232" t="s">
        <v>79</v>
      </c>
      <c r="B232" s="14">
        <v>45717</v>
      </c>
      <c r="C232" t="s">
        <v>15</v>
      </c>
      <c r="D232">
        <f t="shared" si="18"/>
        <v>0</v>
      </c>
      <c r="E232">
        <f t="shared" si="19"/>
        <v>0</v>
      </c>
      <c r="F232">
        <f t="shared" si="20"/>
        <v>0</v>
      </c>
      <c r="G232" t="s">
        <v>18</v>
      </c>
      <c r="H232">
        <f t="shared" si="21"/>
        <v>1</v>
      </c>
      <c r="I232">
        <f t="shared" si="22"/>
        <v>0</v>
      </c>
      <c r="J232">
        <f t="shared" si="23"/>
        <v>0</v>
      </c>
      <c r="K232">
        <v>33173.949999999997</v>
      </c>
      <c r="L232">
        <v>6545</v>
      </c>
      <c r="M232">
        <v>0.16900000000000001</v>
      </c>
      <c r="N232">
        <v>84.4</v>
      </c>
      <c r="O232">
        <v>15</v>
      </c>
      <c r="P232">
        <v>2.48</v>
      </c>
      <c r="Q232">
        <v>0</v>
      </c>
      <c r="R232">
        <v>3.9</v>
      </c>
      <c r="S232">
        <v>596969.27</v>
      </c>
      <c r="T232">
        <v>105669.51</v>
      </c>
    </row>
    <row r="233" spans="1:20">
      <c r="A233" t="s">
        <v>79</v>
      </c>
      <c r="B233" s="14">
        <v>45748</v>
      </c>
      <c r="C233" t="s">
        <v>15</v>
      </c>
      <c r="D233">
        <f t="shared" si="18"/>
        <v>0</v>
      </c>
      <c r="E233">
        <f t="shared" si="19"/>
        <v>0</v>
      </c>
      <c r="F233">
        <f t="shared" si="20"/>
        <v>0</v>
      </c>
      <c r="G233" t="s">
        <v>18</v>
      </c>
      <c r="H233">
        <f t="shared" si="21"/>
        <v>1</v>
      </c>
      <c r="I233">
        <f t="shared" si="22"/>
        <v>0</v>
      </c>
      <c r="J233">
        <f t="shared" si="23"/>
        <v>0</v>
      </c>
      <c r="K233">
        <v>25818.080000000002</v>
      </c>
      <c r="L233">
        <v>5457</v>
      </c>
      <c r="M233">
        <v>0</v>
      </c>
      <c r="N233">
        <v>95.4</v>
      </c>
      <c r="O233">
        <v>11</v>
      </c>
      <c r="P233">
        <v>3.3650000000000002</v>
      </c>
      <c r="Q233">
        <v>0</v>
      </c>
      <c r="R233">
        <v>3.7</v>
      </c>
      <c r="S233">
        <v>647512.85</v>
      </c>
      <c r="T233">
        <v>153835.57</v>
      </c>
    </row>
    <row r="234" spans="1:20">
      <c r="A234" t="s">
        <v>80</v>
      </c>
      <c r="B234" s="14">
        <v>45658</v>
      </c>
      <c r="C234" t="s">
        <v>27</v>
      </c>
      <c r="D234">
        <f t="shared" si="18"/>
        <v>0</v>
      </c>
      <c r="E234">
        <f t="shared" si="19"/>
        <v>0</v>
      </c>
      <c r="F234">
        <f t="shared" si="20"/>
        <v>1</v>
      </c>
      <c r="G234" t="s">
        <v>16</v>
      </c>
      <c r="H234">
        <f t="shared" si="21"/>
        <v>0</v>
      </c>
      <c r="I234">
        <f t="shared" si="22"/>
        <v>1</v>
      </c>
      <c r="J234">
        <f t="shared" si="23"/>
        <v>0</v>
      </c>
      <c r="K234">
        <v>47241.919999999998</v>
      </c>
      <c r="L234">
        <v>4264</v>
      </c>
      <c r="M234">
        <v>6.9000000000000006E-2</v>
      </c>
      <c r="N234">
        <v>95.3</v>
      </c>
      <c r="O234">
        <v>13</v>
      </c>
      <c r="P234">
        <v>0.85</v>
      </c>
      <c r="Q234">
        <v>0</v>
      </c>
      <c r="R234">
        <v>4.3</v>
      </c>
      <c r="S234">
        <v>658072.14</v>
      </c>
      <c r="T234">
        <v>110595.89</v>
      </c>
    </row>
    <row r="235" spans="1:20">
      <c r="A235" t="s">
        <v>80</v>
      </c>
      <c r="B235" s="14">
        <v>45689</v>
      </c>
      <c r="C235" t="s">
        <v>27</v>
      </c>
      <c r="D235">
        <f t="shared" si="18"/>
        <v>0</v>
      </c>
      <c r="E235">
        <f t="shared" si="19"/>
        <v>0</v>
      </c>
      <c r="F235">
        <f t="shared" si="20"/>
        <v>1</v>
      </c>
      <c r="G235" t="s">
        <v>16</v>
      </c>
      <c r="H235">
        <f t="shared" si="21"/>
        <v>0</v>
      </c>
      <c r="I235">
        <f t="shared" si="22"/>
        <v>1</v>
      </c>
      <c r="J235">
        <f t="shared" si="23"/>
        <v>0</v>
      </c>
      <c r="K235">
        <v>61650.79</v>
      </c>
      <c r="L235">
        <v>5321</v>
      </c>
      <c r="M235">
        <v>0.126</v>
      </c>
      <c r="N235">
        <v>89.2</v>
      </c>
      <c r="O235">
        <v>17</v>
      </c>
      <c r="P235">
        <v>2.13</v>
      </c>
      <c r="Q235">
        <v>0</v>
      </c>
      <c r="R235">
        <v>4</v>
      </c>
      <c r="S235">
        <v>723305.11</v>
      </c>
      <c r="T235">
        <v>128468.7</v>
      </c>
    </row>
    <row r="236" spans="1:20">
      <c r="A236" t="s">
        <v>80</v>
      </c>
      <c r="B236" s="14">
        <v>45717</v>
      </c>
      <c r="C236" t="s">
        <v>27</v>
      </c>
      <c r="D236">
        <f t="shared" si="18"/>
        <v>0</v>
      </c>
      <c r="E236">
        <f t="shared" si="19"/>
        <v>0</v>
      </c>
      <c r="F236">
        <f t="shared" si="20"/>
        <v>1</v>
      </c>
      <c r="G236" t="s">
        <v>16</v>
      </c>
      <c r="H236">
        <f t="shared" si="21"/>
        <v>0</v>
      </c>
      <c r="I236">
        <f t="shared" si="22"/>
        <v>1</v>
      </c>
      <c r="J236">
        <f t="shared" si="23"/>
        <v>0</v>
      </c>
      <c r="K236">
        <v>62582.71</v>
      </c>
      <c r="L236">
        <v>5479</v>
      </c>
      <c r="M236">
        <v>4.8000000000000001E-2</v>
      </c>
      <c r="N236">
        <v>81.2</v>
      </c>
      <c r="O236">
        <v>16</v>
      </c>
      <c r="P236">
        <v>1.46</v>
      </c>
      <c r="Q236">
        <v>0</v>
      </c>
      <c r="R236">
        <v>4.5</v>
      </c>
      <c r="S236">
        <v>640666.53</v>
      </c>
      <c r="T236">
        <v>134919.16</v>
      </c>
    </row>
    <row r="237" spans="1:20">
      <c r="A237" t="s">
        <v>80</v>
      </c>
      <c r="B237" s="14">
        <v>45748</v>
      </c>
      <c r="C237" t="s">
        <v>27</v>
      </c>
      <c r="D237">
        <f t="shared" si="18"/>
        <v>0</v>
      </c>
      <c r="E237">
        <f t="shared" si="19"/>
        <v>0</v>
      </c>
      <c r="F237">
        <f t="shared" si="20"/>
        <v>1</v>
      </c>
      <c r="G237" t="s">
        <v>16</v>
      </c>
      <c r="H237">
        <f t="shared" si="21"/>
        <v>0</v>
      </c>
      <c r="I237">
        <f t="shared" si="22"/>
        <v>1</v>
      </c>
      <c r="J237">
        <f t="shared" si="23"/>
        <v>0</v>
      </c>
      <c r="K237">
        <v>47944.14</v>
      </c>
      <c r="L237">
        <v>6169</v>
      </c>
      <c r="M237">
        <v>0.11899999999999999</v>
      </c>
      <c r="N237">
        <v>92.2</v>
      </c>
      <c r="O237">
        <v>17</v>
      </c>
      <c r="P237">
        <v>3.02</v>
      </c>
      <c r="Q237">
        <v>0</v>
      </c>
      <c r="R237">
        <v>4.0999999999999996</v>
      </c>
      <c r="S237">
        <v>670629.48</v>
      </c>
      <c r="T237">
        <v>100140.8</v>
      </c>
    </row>
    <row r="238" spans="1:20">
      <c r="A238" t="s">
        <v>81</v>
      </c>
      <c r="B238" s="14">
        <v>45658</v>
      </c>
      <c r="C238" t="s">
        <v>27</v>
      </c>
      <c r="D238">
        <f t="shared" si="18"/>
        <v>0</v>
      </c>
      <c r="E238">
        <f t="shared" si="19"/>
        <v>0</v>
      </c>
      <c r="F238">
        <f t="shared" si="20"/>
        <v>1</v>
      </c>
      <c r="G238" t="s">
        <v>28</v>
      </c>
      <c r="H238">
        <f t="shared" si="21"/>
        <v>0</v>
      </c>
      <c r="I238">
        <f t="shared" si="22"/>
        <v>0</v>
      </c>
      <c r="J238">
        <f t="shared" si="23"/>
        <v>0</v>
      </c>
      <c r="K238">
        <v>46495.4</v>
      </c>
      <c r="L238">
        <v>9908</v>
      </c>
      <c r="M238">
        <v>0.121</v>
      </c>
      <c r="N238">
        <v>89.4</v>
      </c>
      <c r="O238">
        <v>22</v>
      </c>
      <c r="P238">
        <v>3.22</v>
      </c>
      <c r="Q238">
        <v>0</v>
      </c>
      <c r="R238">
        <v>3.7</v>
      </c>
      <c r="S238">
        <v>721079.35</v>
      </c>
      <c r="T238">
        <v>115295.05</v>
      </c>
    </row>
    <row r="239" spans="1:20">
      <c r="A239" t="s">
        <v>81</v>
      </c>
      <c r="B239" s="14">
        <v>45689</v>
      </c>
      <c r="C239" t="s">
        <v>27</v>
      </c>
      <c r="D239">
        <f t="shared" si="18"/>
        <v>0</v>
      </c>
      <c r="E239">
        <f t="shared" si="19"/>
        <v>0</v>
      </c>
      <c r="F239">
        <f t="shared" si="20"/>
        <v>1</v>
      </c>
      <c r="G239" t="s">
        <v>28</v>
      </c>
      <c r="H239">
        <f t="shared" si="21"/>
        <v>0</v>
      </c>
      <c r="I239">
        <f t="shared" si="22"/>
        <v>0</v>
      </c>
      <c r="J239">
        <f t="shared" si="23"/>
        <v>0</v>
      </c>
      <c r="K239">
        <v>72961.95</v>
      </c>
      <c r="L239">
        <v>9996</v>
      </c>
      <c r="M239">
        <v>0.106</v>
      </c>
      <c r="N239">
        <v>89.1</v>
      </c>
      <c r="O239">
        <v>22</v>
      </c>
      <c r="P239">
        <v>15.66</v>
      </c>
      <c r="Q239">
        <v>0</v>
      </c>
      <c r="R239">
        <v>3.4</v>
      </c>
      <c r="S239">
        <v>810355.02</v>
      </c>
      <c r="T239">
        <v>131510</v>
      </c>
    </row>
    <row r="240" spans="1:20">
      <c r="A240" t="s">
        <v>81</v>
      </c>
      <c r="B240" s="14">
        <v>45717</v>
      </c>
      <c r="C240" t="s">
        <v>27</v>
      </c>
      <c r="D240">
        <f t="shared" si="18"/>
        <v>0</v>
      </c>
      <c r="E240">
        <f t="shared" si="19"/>
        <v>0</v>
      </c>
      <c r="F240">
        <f t="shared" si="20"/>
        <v>1</v>
      </c>
      <c r="G240" t="s">
        <v>28</v>
      </c>
      <c r="H240">
        <f t="shared" si="21"/>
        <v>0</v>
      </c>
      <c r="I240">
        <f t="shared" si="22"/>
        <v>0</v>
      </c>
      <c r="J240">
        <f t="shared" si="23"/>
        <v>0</v>
      </c>
      <c r="K240">
        <v>59060.05</v>
      </c>
      <c r="L240">
        <v>9702</v>
      </c>
      <c r="M240">
        <v>0.20100000000000001</v>
      </c>
      <c r="N240">
        <v>80.900000000000006</v>
      </c>
      <c r="O240">
        <v>23</v>
      </c>
      <c r="P240">
        <v>6.96</v>
      </c>
      <c r="Q240">
        <v>0</v>
      </c>
      <c r="R240">
        <v>3.2</v>
      </c>
      <c r="S240">
        <v>761919.25</v>
      </c>
      <c r="T240">
        <v>111893.06</v>
      </c>
    </row>
    <row r="241" spans="1:20">
      <c r="A241" t="s">
        <v>81</v>
      </c>
      <c r="B241" s="14">
        <v>45748</v>
      </c>
      <c r="C241" t="s">
        <v>27</v>
      </c>
      <c r="D241">
        <f t="shared" si="18"/>
        <v>0</v>
      </c>
      <c r="E241">
        <f t="shared" si="19"/>
        <v>0</v>
      </c>
      <c r="F241">
        <f t="shared" si="20"/>
        <v>1</v>
      </c>
      <c r="G241" t="s">
        <v>28</v>
      </c>
      <c r="H241">
        <f t="shared" si="21"/>
        <v>0</v>
      </c>
      <c r="I241">
        <f t="shared" si="22"/>
        <v>0</v>
      </c>
      <c r="J241">
        <f t="shared" si="23"/>
        <v>0</v>
      </c>
      <c r="K241">
        <v>26248.1</v>
      </c>
      <c r="L241">
        <v>9314</v>
      </c>
      <c r="M241">
        <v>0.186</v>
      </c>
      <c r="N241">
        <v>83.7</v>
      </c>
      <c r="O241">
        <v>21</v>
      </c>
      <c r="P241">
        <v>4.62</v>
      </c>
      <c r="Q241">
        <v>0</v>
      </c>
      <c r="R241">
        <v>3.3</v>
      </c>
      <c r="S241">
        <v>737070.18</v>
      </c>
      <c r="T241">
        <v>117593.97</v>
      </c>
    </row>
    <row r="242" spans="1:20">
      <c r="A242" t="s">
        <v>82</v>
      </c>
      <c r="B242" s="14">
        <v>45658</v>
      </c>
      <c r="C242" t="s">
        <v>24</v>
      </c>
      <c r="D242">
        <f t="shared" si="18"/>
        <v>0</v>
      </c>
      <c r="E242">
        <f t="shared" si="19"/>
        <v>1</v>
      </c>
      <c r="F242">
        <f t="shared" si="20"/>
        <v>0</v>
      </c>
      <c r="G242" t="s">
        <v>21</v>
      </c>
      <c r="H242">
        <f t="shared" si="21"/>
        <v>0</v>
      </c>
      <c r="I242">
        <f t="shared" si="22"/>
        <v>0</v>
      </c>
      <c r="J242">
        <f t="shared" si="23"/>
        <v>1</v>
      </c>
      <c r="K242">
        <v>69900.12</v>
      </c>
      <c r="L242">
        <v>8055</v>
      </c>
      <c r="M242">
        <v>0.28100000000000003</v>
      </c>
      <c r="N242">
        <v>85.6</v>
      </c>
      <c r="O242">
        <v>22</v>
      </c>
      <c r="P242">
        <v>10.68</v>
      </c>
      <c r="Q242">
        <v>1</v>
      </c>
      <c r="R242">
        <v>2.9</v>
      </c>
      <c r="S242">
        <v>776992.93</v>
      </c>
      <c r="T242">
        <v>101598.32</v>
      </c>
    </row>
    <row r="243" spans="1:20">
      <c r="A243" t="s">
        <v>82</v>
      </c>
      <c r="B243" s="14">
        <v>45689</v>
      </c>
      <c r="C243" t="s">
        <v>24</v>
      </c>
      <c r="D243">
        <f t="shared" si="18"/>
        <v>0</v>
      </c>
      <c r="E243">
        <f t="shared" si="19"/>
        <v>1</v>
      </c>
      <c r="F243">
        <f t="shared" si="20"/>
        <v>0</v>
      </c>
      <c r="G243" t="s">
        <v>21</v>
      </c>
      <c r="H243">
        <f t="shared" si="21"/>
        <v>0</v>
      </c>
      <c r="I243">
        <f t="shared" si="22"/>
        <v>0</v>
      </c>
      <c r="J243">
        <f t="shared" si="23"/>
        <v>1</v>
      </c>
      <c r="K243">
        <v>51781.599999999999</v>
      </c>
      <c r="L243">
        <v>5648</v>
      </c>
      <c r="M243">
        <v>5.8999999999999997E-2</v>
      </c>
      <c r="N243">
        <v>85.5</v>
      </c>
      <c r="O243">
        <v>13</v>
      </c>
      <c r="P243">
        <v>4.04</v>
      </c>
      <c r="Q243">
        <v>0</v>
      </c>
      <c r="R243">
        <v>3.7</v>
      </c>
      <c r="S243">
        <v>676337.41</v>
      </c>
      <c r="T243">
        <v>104355.77</v>
      </c>
    </row>
    <row r="244" spans="1:20">
      <c r="A244" t="s">
        <v>82</v>
      </c>
      <c r="B244" s="14">
        <v>45717</v>
      </c>
      <c r="C244" t="s">
        <v>24</v>
      </c>
      <c r="D244">
        <f t="shared" si="18"/>
        <v>0</v>
      </c>
      <c r="E244">
        <f t="shared" si="19"/>
        <v>1</v>
      </c>
      <c r="F244">
        <f t="shared" si="20"/>
        <v>0</v>
      </c>
      <c r="G244" t="s">
        <v>21</v>
      </c>
      <c r="H244">
        <f t="shared" si="21"/>
        <v>0</v>
      </c>
      <c r="I244">
        <f t="shared" si="22"/>
        <v>0</v>
      </c>
      <c r="J244">
        <f t="shared" si="23"/>
        <v>1</v>
      </c>
      <c r="K244">
        <v>70799.64</v>
      </c>
      <c r="L244">
        <v>10076</v>
      </c>
      <c r="M244">
        <v>0.152</v>
      </c>
      <c r="N244">
        <v>84.8</v>
      </c>
      <c r="O244">
        <v>24</v>
      </c>
      <c r="P244">
        <v>1.87</v>
      </c>
      <c r="Q244">
        <v>0</v>
      </c>
      <c r="R244">
        <v>3.5</v>
      </c>
      <c r="S244">
        <v>828219.67</v>
      </c>
      <c r="T244">
        <v>179806.87</v>
      </c>
    </row>
    <row r="245" spans="1:20">
      <c r="A245" t="s">
        <v>82</v>
      </c>
      <c r="B245" s="14">
        <v>45748</v>
      </c>
      <c r="C245" t="s">
        <v>24</v>
      </c>
      <c r="D245">
        <f t="shared" si="18"/>
        <v>0</v>
      </c>
      <c r="E245">
        <f t="shared" si="19"/>
        <v>1</v>
      </c>
      <c r="F245">
        <f t="shared" si="20"/>
        <v>0</v>
      </c>
      <c r="G245" t="s">
        <v>21</v>
      </c>
      <c r="H245">
        <f t="shared" si="21"/>
        <v>0</v>
      </c>
      <c r="I245">
        <f t="shared" si="22"/>
        <v>0</v>
      </c>
      <c r="J245">
        <f t="shared" si="23"/>
        <v>1</v>
      </c>
      <c r="K245">
        <v>53546.34</v>
      </c>
      <c r="L245">
        <v>8004</v>
      </c>
      <c r="M245">
        <v>0</v>
      </c>
      <c r="N245">
        <v>95.2</v>
      </c>
      <c r="O245">
        <v>21</v>
      </c>
      <c r="P245">
        <v>2.83</v>
      </c>
      <c r="Q245">
        <v>0</v>
      </c>
      <c r="R245">
        <v>3</v>
      </c>
      <c r="S245">
        <v>763159.92</v>
      </c>
      <c r="T245">
        <v>177104.87</v>
      </c>
    </row>
    <row r="246" spans="1:20">
      <c r="A246" t="s">
        <v>83</v>
      </c>
      <c r="B246" s="14">
        <v>45658</v>
      </c>
      <c r="C246" t="s">
        <v>15</v>
      </c>
      <c r="D246">
        <f t="shared" si="18"/>
        <v>0</v>
      </c>
      <c r="E246">
        <f t="shared" si="19"/>
        <v>0</v>
      </c>
      <c r="F246">
        <f t="shared" si="20"/>
        <v>0</v>
      </c>
      <c r="G246" t="s">
        <v>18</v>
      </c>
      <c r="H246">
        <f t="shared" si="21"/>
        <v>1</v>
      </c>
      <c r="I246">
        <f t="shared" si="22"/>
        <v>0</v>
      </c>
      <c r="J246">
        <f t="shared" si="23"/>
        <v>0</v>
      </c>
      <c r="K246">
        <v>76942.2</v>
      </c>
      <c r="L246">
        <v>8934</v>
      </c>
      <c r="M246">
        <v>8.4000000000000005E-2</v>
      </c>
      <c r="N246">
        <v>91</v>
      </c>
      <c r="O246">
        <v>20</v>
      </c>
      <c r="P246">
        <v>0.95</v>
      </c>
      <c r="Q246">
        <v>0</v>
      </c>
      <c r="R246">
        <v>3.2</v>
      </c>
      <c r="S246">
        <v>802001.68</v>
      </c>
      <c r="T246">
        <v>159715.82</v>
      </c>
    </row>
    <row r="247" spans="1:20">
      <c r="A247" t="s">
        <v>83</v>
      </c>
      <c r="B247" s="14">
        <v>45689</v>
      </c>
      <c r="C247" t="s">
        <v>15</v>
      </c>
      <c r="D247">
        <f t="shared" si="18"/>
        <v>0</v>
      </c>
      <c r="E247">
        <f t="shared" si="19"/>
        <v>0</v>
      </c>
      <c r="F247">
        <f t="shared" si="20"/>
        <v>0</v>
      </c>
      <c r="G247" t="s">
        <v>18</v>
      </c>
      <c r="H247">
        <f t="shared" si="21"/>
        <v>1</v>
      </c>
      <c r="I247">
        <f t="shared" si="22"/>
        <v>0</v>
      </c>
      <c r="J247">
        <f t="shared" si="23"/>
        <v>0</v>
      </c>
      <c r="K247">
        <v>48060.78</v>
      </c>
      <c r="L247">
        <v>8733</v>
      </c>
      <c r="M247">
        <v>0</v>
      </c>
      <c r="N247">
        <v>89.9</v>
      </c>
      <c r="O247">
        <v>20</v>
      </c>
      <c r="P247">
        <v>0.8</v>
      </c>
      <c r="Q247">
        <v>0</v>
      </c>
      <c r="R247">
        <v>3.4</v>
      </c>
      <c r="S247">
        <v>750471.34</v>
      </c>
      <c r="T247">
        <v>133788.04</v>
      </c>
    </row>
    <row r="248" spans="1:20">
      <c r="A248" t="s">
        <v>83</v>
      </c>
      <c r="B248" s="14">
        <v>45717</v>
      </c>
      <c r="C248" t="s">
        <v>15</v>
      </c>
      <c r="D248">
        <f t="shared" si="18"/>
        <v>0</v>
      </c>
      <c r="E248">
        <f t="shared" si="19"/>
        <v>0</v>
      </c>
      <c r="F248">
        <f t="shared" si="20"/>
        <v>0</v>
      </c>
      <c r="G248" t="s">
        <v>18</v>
      </c>
      <c r="H248">
        <f t="shared" si="21"/>
        <v>1</v>
      </c>
      <c r="I248">
        <f t="shared" si="22"/>
        <v>0</v>
      </c>
      <c r="J248">
        <f t="shared" si="23"/>
        <v>0</v>
      </c>
      <c r="K248">
        <v>57390.04</v>
      </c>
      <c r="L248">
        <v>7374</v>
      </c>
      <c r="M248">
        <v>0.21</v>
      </c>
      <c r="N248">
        <v>91.8</v>
      </c>
      <c r="O248">
        <v>21</v>
      </c>
      <c r="P248">
        <v>0.2</v>
      </c>
      <c r="Q248">
        <v>0</v>
      </c>
      <c r="R248">
        <v>3.1</v>
      </c>
      <c r="S248">
        <v>679230.86</v>
      </c>
      <c r="T248">
        <v>106927.58</v>
      </c>
    </row>
    <row r="249" spans="1:20">
      <c r="A249" t="s">
        <v>83</v>
      </c>
      <c r="B249" s="14">
        <v>45748</v>
      </c>
      <c r="C249" t="s">
        <v>15</v>
      </c>
      <c r="D249">
        <f t="shared" si="18"/>
        <v>0</v>
      </c>
      <c r="E249">
        <f t="shared" si="19"/>
        <v>0</v>
      </c>
      <c r="F249">
        <f t="shared" si="20"/>
        <v>0</v>
      </c>
      <c r="G249" t="s">
        <v>18</v>
      </c>
      <c r="H249">
        <f t="shared" si="21"/>
        <v>1</v>
      </c>
      <c r="I249">
        <f t="shared" si="22"/>
        <v>0</v>
      </c>
      <c r="J249">
        <f t="shared" si="23"/>
        <v>0</v>
      </c>
      <c r="K249">
        <v>21536.18</v>
      </c>
      <c r="L249">
        <v>8119</v>
      </c>
      <c r="M249">
        <v>0.22700000000000001</v>
      </c>
      <c r="N249">
        <v>90.4</v>
      </c>
      <c r="O249">
        <v>20</v>
      </c>
      <c r="P249">
        <v>1.7</v>
      </c>
      <c r="Q249">
        <v>0</v>
      </c>
      <c r="R249">
        <v>3.3</v>
      </c>
      <c r="S249">
        <v>679888.74</v>
      </c>
      <c r="T249">
        <v>83406.89</v>
      </c>
    </row>
    <row r="250" spans="1:20">
      <c r="A250" t="s">
        <v>84</v>
      </c>
      <c r="B250" s="14">
        <v>45658</v>
      </c>
      <c r="C250" t="s">
        <v>20</v>
      </c>
      <c r="D250">
        <f t="shared" si="18"/>
        <v>1</v>
      </c>
      <c r="E250">
        <f t="shared" si="19"/>
        <v>0</v>
      </c>
      <c r="F250">
        <f t="shared" si="20"/>
        <v>0</v>
      </c>
      <c r="G250" t="s">
        <v>18</v>
      </c>
      <c r="H250">
        <f t="shared" si="21"/>
        <v>1</v>
      </c>
      <c r="I250">
        <f t="shared" si="22"/>
        <v>0</v>
      </c>
      <c r="J250">
        <f t="shared" si="23"/>
        <v>0</v>
      </c>
      <c r="K250">
        <v>40923.67</v>
      </c>
      <c r="L250">
        <v>3875</v>
      </c>
      <c r="M250">
        <v>0.15</v>
      </c>
      <c r="N250">
        <v>96.1</v>
      </c>
      <c r="O250">
        <v>10</v>
      </c>
      <c r="P250">
        <v>3.3650000000000002</v>
      </c>
      <c r="Q250">
        <v>0</v>
      </c>
      <c r="R250">
        <v>3.8</v>
      </c>
      <c r="S250">
        <v>606783.67000000004</v>
      </c>
      <c r="T250">
        <v>74515.87</v>
      </c>
    </row>
    <row r="251" spans="1:20">
      <c r="A251" t="s">
        <v>84</v>
      </c>
      <c r="B251" s="14">
        <v>45689</v>
      </c>
      <c r="C251" t="s">
        <v>20</v>
      </c>
      <c r="D251">
        <f t="shared" si="18"/>
        <v>1</v>
      </c>
      <c r="E251">
        <f t="shared" si="19"/>
        <v>0</v>
      </c>
      <c r="F251">
        <f t="shared" si="20"/>
        <v>0</v>
      </c>
      <c r="G251" t="s">
        <v>18</v>
      </c>
      <c r="H251">
        <f t="shared" si="21"/>
        <v>1</v>
      </c>
      <c r="I251">
        <f t="shared" si="22"/>
        <v>0</v>
      </c>
      <c r="J251">
        <f t="shared" si="23"/>
        <v>0</v>
      </c>
      <c r="K251">
        <v>72932.55</v>
      </c>
      <c r="L251">
        <v>5765</v>
      </c>
      <c r="M251">
        <v>2.5999999999999999E-2</v>
      </c>
      <c r="N251">
        <v>81.8</v>
      </c>
      <c r="O251">
        <v>17</v>
      </c>
      <c r="P251">
        <v>5.0999999999999996</v>
      </c>
      <c r="Q251">
        <v>0</v>
      </c>
      <c r="R251">
        <v>3.6</v>
      </c>
      <c r="S251">
        <v>642751.42000000004</v>
      </c>
      <c r="T251">
        <v>131942.15</v>
      </c>
    </row>
    <row r="252" spans="1:20">
      <c r="A252" t="s">
        <v>84</v>
      </c>
      <c r="B252" s="14">
        <v>45717</v>
      </c>
      <c r="C252" t="s">
        <v>20</v>
      </c>
      <c r="D252">
        <f t="shared" si="18"/>
        <v>1</v>
      </c>
      <c r="E252">
        <f t="shared" si="19"/>
        <v>0</v>
      </c>
      <c r="F252">
        <f t="shared" si="20"/>
        <v>0</v>
      </c>
      <c r="G252" t="s">
        <v>18</v>
      </c>
      <c r="H252">
        <f t="shared" si="21"/>
        <v>1</v>
      </c>
      <c r="I252">
        <f t="shared" si="22"/>
        <v>0</v>
      </c>
      <c r="J252">
        <f t="shared" si="23"/>
        <v>0</v>
      </c>
      <c r="K252">
        <v>38361.93</v>
      </c>
      <c r="L252">
        <v>6322</v>
      </c>
      <c r="M252">
        <v>0.27300000000000002</v>
      </c>
      <c r="N252">
        <v>88.4</v>
      </c>
      <c r="O252">
        <v>15</v>
      </c>
      <c r="P252">
        <v>0.83</v>
      </c>
      <c r="Q252">
        <v>0</v>
      </c>
      <c r="R252">
        <v>4</v>
      </c>
      <c r="S252">
        <v>647953.78</v>
      </c>
      <c r="T252">
        <v>118497.43</v>
      </c>
    </row>
    <row r="253" spans="1:20">
      <c r="A253" t="s">
        <v>84</v>
      </c>
      <c r="B253" s="14">
        <v>45748</v>
      </c>
      <c r="C253" t="s">
        <v>20</v>
      </c>
      <c r="D253">
        <f t="shared" si="18"/>
        <v>1</v>
      </c>
      <c r="E253">
        <f t="shared" si="19"/>
        <v>0</v>
      </c>
      <c r="F253">
        <f t="shared" si="20"/>
        <v>0</v>
      </c>
      <c r="G253" t="s">
        <v>18</v>
      </c>
      <c r="H253">
        <f t="shared" si="21"/>
        <v>1</v>
      </c>
      <c r="I253">
        <f t="shared" si="22"/>
        <v>0</v>
      </c>
      <c r="J253">
        <f t="shared" si="23"/>
        <v>0</v>
      </c>
      <c r="K253">
        <v>97480.94</v>
      </c>
      <c r="L253">
        <v>6840</v>
      </c>
      <c r="M253">
        <v>8.6999999999999994E-2</v>
      </c>
      <c r="N253">
        <v>79.2</v>
      </c>
      <c r="O253">
        <v>14</v>
      </c>
      <c r="P253">
        <v>1.1399999999999999</v>
      </c>
      <c r="Q253">
        <v>0</v>
      </c>
      <c r="R253">
        <v>4</v>
      </c>
      <c r="S253">
        <v>729440.45</v>
      </c>
      <c r="T253">
        <v>87614.29</v>
      </c>
    </row>
    <row r="254" spans="1:20">
      <c r="A254" t="s">
        <v>85</v>
      </c>
      <c r="B254" s="14">
        <v>45658</v>
      </c>
      <c r="C254" t="s">
        <v>24</v>
      </c>
      <c r="D254">
        <f t="shared" si="18"/>
        <v>0</v>
      </c>
      <c r="E254">
        <f t="shared" si="19"/>
        <v>1</v>
      </c>
      <c r="F254">
        <f t="shared" si="20"/>
        <v>0</v>
      </c>
      <c r="G254" t="s">
        <v>21</v>
      </c>
      <c r="H254">
        <f t="shared" si="21"/>
        <v>0</v>
      </c>
      <c r="I254">
        <f t="shared" si="22"/>
        <v>0</v>
      </c>
      <c r="J254">
        <f t="shared" si="23"/>
        <v>1</v>
      </c>
      <c r="K254">
        <v>81801.8</v>
      </c>
      <c r="L254">
        <v>6782</v>
      </c>
      <c r="M254">
        <v>0.05</v>
      </c>
      <c r="N254">
        <v>99</v>
      </c>
      <c r="O254">
        <v>16</v>
      </c>
      <c r="P254">
        <v>9.5399999999999991</v>
      </c>
      <c r="Q254">
        <v>0</v>
      </c>
      <c r="R254">
        <v>3.7</v>
      </c>
      <c r="S254">
        <v>764949</v>
      </c>
      <c r="T254">
        <v>148322.43</v>
      </c>
    </row>
    <row r="255" spans="1:20">
      <c r="A255" t="s">
        <v>85</v>
      </c>
      <c r="B255" s="14">
        <v>45689</v>
      </c>
      <c r="C255" t="s">
        <v>24</v>
      </c>
      <c r="D255">
        <f t="shared" si="18"/>
        <v>0</v>
      </c>
      <c r="E255">
        <f t="shared" si="19"/>
        <v>1</v>
      </c>
      <c r="F255">
        <f t="shared" si="20"/>
        <v>0</v>
      </c>
      <c r="G255" t="s">
        <v>21</v>
      </c>
      <c r="H255">
        <f t="shared" si="21"/>
        <v>0</v>
      </c>
      <c r="I255">
        <f t="shared" si="22"/>
        <v>0</v>
      </c>
      <c r="J255">
        <f t="shared" si="23"/>
        <v>1</v>
      </c>
      <c r="K255">
        <v>63582.11</v>
      </c>
      <c r="L255">
        <v>6856</v>
      </c>
      <c r="M255">
        <v>7.3999999999999996E-2</v>
      </c>
      <c r="N255">
        <v>89.5</v>
      </c>
      <c r="O255">
        <v>17</v>
      </c>
      <c r="P255">
        <v>5.48</v>
      </c>
      <c r="Q255">
        <v>0</v>
      </c>
      <c r="R255">
        <v>3.2</v>
      </c>
      <c r="S255">
        <v>799046.94</v>
      </c>
      <c r="T255">
        <v>144553.64000000001</v>
      </c>
    </row>
    <row r="256" spans="1:20">
      <c r="A256" t="s">
        <v>85</v>
      </c>
      <c r="B256" s="14">
        <v>45717</v>
      </c>
      <c r="C256" t="s">
        <v>24</v>
      </c>
      <c r="D256">
        <f t="shared" si="18"/>
        <v>0</v>
      </c>
      <c r="E256">
        <f t="shared" si="19"/>
        <v>1</v>
      </c>
      <c r="F256">
        <f t="shared" si="20"/>
        <v>0</v>
      </c>
      <c r="G256" t="s">
        <v>21</v>
      </c>
      <c r="H256">
        <f t="shared" si="21"/>
        <v>0</v>
      </c>
      <c r="I256">
        <f t="shared" si="22"/>
        <v>0</v>
      </c>
      <c r="J256">
        <f t="shared" si="23"/>
        <v>1</v>
      </c>
      <c r="K256">
        <v>75412.740000000005</v>
      </c>
      <c r="L256">
        <v>5641</v>
      </c>
      <c r="M256">
        <v>5.8999999999999997E-2</v>
      </c>
      <c r="N256">
        <v>87.9</v>
      </c>
      <c r="O256">
        <v>13</v>
      </c>
      <c r="P256">
        <v>0.84</v>
      </c>
      <c r="Q256">
        <v>0</v>
      </c>
      <c r="R256">
        <v>3.6</v>
      </c>
      <c r="S256">
        <v>720079.54</v>
      </c>
      <c r="T256">
        <v>119499.47</v>
      </c>
    </row>
    <row r="257" spans="1:20">
      <c r="A257" t="s">
        <v>85</v>
      </c>
      <c r="B257" s="14">
        <v>45748</v>
      </c>
      <c r="C257" t="s">
        <v>24</v>
      </c>
      <c r="D257">
        <f t="shared" si="18"/>
        <v>0</v>
      </c>
      <c r="E257">
        <f t="shared" si="19"/>
        <v>1</v>
      </c>
      <c r="F257">
        <f t="shared" si="20"/>
        <v>0</v>
      </c>
      <c r="G257" t="s">
        <v>21</v>
      </c>
      <c r="H257">
        <f t="shared" si="21"/>
        <v>0</v>
      </c>
      <c r="I257">
        <f t="shared" si="22"/>
        <v>0</v>
      </c>
      <c r="J257">
        <f t="shared" si="23"/>
        <v>1</v>
      </c>
      <c r="K257">
        <v>36290.080000000002</v>
      </c>
      <c r="L257">
        <v>5787</v>
      </c>
      <c r="M257">
        <v>0</v>
      </c>
      <c r="N257">
        <v>88.3</v>
      </c>
      <c r="O257">
        <v>17</v>
      </c>
      <c r="P257">
        <v>4.1900000000000004</v>
      </c>
      <c r="Q257">
        <v>0</v>
      </c>
      <c r="R257">
        <v>4.0999999999999996</v>
      </c>
      <c r="S257">
        <v>612390.14</v>
      </c>
      <c r="T257">
        <v>108985.74</v>
      </c>
    </row>
    <row r="258" spans="1:20">
      <c r="A258" t="s">
        <v>86</v>
      </c>
      <c r="B258" s="14">
        <v>45658</v>
      </c>
      <c r="C258" t="s">
        <v>24</v>
      </c>
      <c r="D258">
        <f t="shared" si="18"/>
        <v>0</v>
      </c>
      <c r="E258">
        <f t="shared" si="19"/>
        <v>1</v>
      </c>
      <c r="F258">
        <f t="shared" si="20"/>
        <v>0</v>
      </c>
      <c r="G258" t="s">
        <v>28</v>
      </c>
      <c r="H258">
        <f t="shared" si="21"/>
        <v>0</v>
      </c>
      <c r="I258">
        <f t="shared" si="22"/>
        <v>0</v>
      </c>
      <c r="J258">
        <f t="shared" si="23"/>
        <v>0</v>
      </c>
      <c r="K258">
        <v>65272.58</v>
      </c>
      <c r="L258">
        <v>8165</v>
      </c>
      <c r="M258">
        <v>5.0999999999999997E-2</v>
      </c>
      <c r="N258">
        <v>87.8</v>
      </c>
      <c r="O258">
        <v>19</v>
      </c>
      <c r="P258">
        <v>1.26</v>
      </c>
      <c r="Q258">
        <v>1</v>
      </c>
      <c r="R258">
        <v>4.3</v>
      </c>
      <c r="S258">
        <v>840108.12</v>
      </c>
      <c r="T258">
        <v>126587.01</v>
      </c>
    </row>
    <row r="259" spans="1:20">
      <c r="A259" t="s">
        <v>86</v>
      </c>
      <c r="B259" s="14">
        <v>45689</v>
      </c>
      <c r="C259" t="s">
        <v>24</v>
      </c>
      <c r="D259">
        <f t="shared" ref="D259:D321" si="24">IF(C259="North",1,0)</f>
        <v>0</v>
      </c>
      <c r="E259">
        <f t="shared" ref="E259:E321" si="25">IF(C259="South",1,0)</f>
        <v>1</v>
      </c>
      <c r="F259">
        <f t="shared" ref="F259:F321" si="26">IF(C259="West",1,0)</f>
        <v>0</v>
      </c>
      <c r="G259" t="s">
        <v>28</v>
      </c>
      <c r="H259">
        <f t="shared" ref="H259:H321" si="27">IF(G259="High Street",1,0)</f>
        <v>0</v>
      </c>
      <c r="I259">
        <f t="shared" ref="I259:I321" si="28">IF(G259="Residential",1,0)</f>
        <v>0</v>
      </c>
      <c r="J259">
        <f t="shared" ref="J259:J321" si="29">IF(G259="Airport",1,0)</f>
        <v>0</v>
      </c>
      <c r="K259">
        <v>28670.43</v>
      </c>
      <c r="L259">
        <v>7574</v>
      </c>
      <c r="M259">
        <v>0.114</v>
      </c>
      <c r="N259">
        <v>82.7</v>
      </c>
      <c r="O259">
        <v>19</v>
      </c>
      <c r="P259">
        <v>2.74</v>
      </c>
      <c r="Q259">
        <v>0</v>
      </c>
      <c r="R259">
        <v>4.5999999999999996</v>
      </c>
      <c r="S259">
        <v>697888.09</v>
      </c>
      <c r="T259">
        <v>116249.87</v>
      </c>
    </row>
    <row r="260" spans="1:20">
      <c r="A260" t="s">
        <v>86</v>
      </c>
      <c r="B260" s="14">
        <v>45717</v>
      </c>
      <c r="C260" t="s">
        <v>24</v>
      </c>
      <c r="D260">
        <f t="shared" si="24"/>
        <v>0</v>
      </c>
      <c r="E260">
        <f t="shared" si="25"/>
        <v>1</v>
      </c>
      <c r="F260">
        <f t="shared" si="26"/>
        <v>0</v>
      </c>
      <c r="G260" t="s">
        <v>28</v>
      </c>
      <c r="H260">
        <f t="shared" si="27"/>
        <v>0</v>
      </c>
      <c r="I260">
        <f t="shared" si="28"/>
        <v>0</v>
      </c>
      <c r="J260">
        <f t="shared" si="29"/>
        <v>0</v>
      </c>
      <c r="K260">
        <v>44189.34</v>
      </c>
      <c r="L260">
        <v>8634</v>
      </c>
      <c r="M260">
        <v>0.14299999999999999</v>
      </c>
      <c r="N260">
        <v>87.5</v>
      </c>
      <c r="O260">
        <v>19</v>
      </c>
      <c r="P260">
        <v>3.69</v>
      </c>
      <c r="Q260">
        <v>0</v>
      </c>
      <c r="R260">
        <v>4.4000000000000004</v>
      </c>
      <c r="S260">
        <v>746115.59</v>
      </c>
      <c r="T260">
        <v>94662.96</v>
      </c>
    </row>
    <row r="261" spans="1:20">
      <c r="A261" t="s">
        <v>86</v>
      </c>
      <c r="B261" s="14">
        <v>45748</v>
      </c>
      <c r="C261" t="s">
        <v>24</v>
      </c>
      <c r="D261">
        <f t="shared" si="24"/>
        <v>0</v>
      </c>
      <c r="E261">
        <f t="shared" si="25"/>
        <v>1</v>
      </c>
      <c r="F261">
        <f t="shared" si="26"/>
        <v>0</v>
      </c>
      <c r="G261" t="s">
        <v>28</v>
      </c>
      <c r="H261">
        <f t="shared" si="27"/>
        <v>0</v>
      </c>
      <c r="I261">
        <f t="shared" si="28"/>
        <v>0</v>
      </c>
      <c r="J261">
        <f t="shared" si="29"/>
        <v>0</v>
      </c>
      <c r="K261">
        <v>38397.82</v>
      </c>
      <c r="L261">
        <v>7836</v>
      </c>
      <c r="M261">
        <v>7.0000000000000001E-3</v>
      </c>
      <c r="N261">
        <v>92.2</v>
      </c>
      <c r="O261">
        <v>21</v>
      </c>
      <c r="P261">
        <v>1.82</v>
      </c>
      <c r="Q261">
        <v>0</v>
      </c>
      <c r="R261">
        <v>3.6</v>
      </c>
      <c r="S261">
        <v>776110.32</v>
      </c>
      <c r="T261">
        <v>139676.21</v>
      </c>
    </row>
    <row r="262" spans="1:20">
      <c r="A262" t="s">
        <v>87</v>
      </c>
      <c r="B262" s="14">
        <v>45658</v>
      </c>
      <c r="C262" t="s">
        <v>27</v>
      </c>
      <c r="D262">
        <f t="shared" si="24"/>
        <v>0</v>
      </c>
      <c r="E262">
        <f t="shared" si="25"/>
        <v>0</v>
      </c>
      <c r="F262">
        <f t="shared" si="26"/>
        <v>1</v>
      </c>
      <c r="G262" t="s">
        <v>18</v>
      </c>
      <c r="H262">
        <f t="shared" si="27"/>
        <v>1</v>
      </c>
      <c r="I262">
        <f t="shared" si="28"/>
        <v>0</v>
      </c>
      <c r="J262">
        <f t="shared" si="29"/>
        <v>0</v>
      </c>
      <c r="K262">
        <v>14519.37</v>
      </c>
      <c r="L262">
        <v>3047</v>
      </c>
      <c r="M262">
        <v>0.13500000000000001</v>
      </c>
      <c r="N262">
        <v>90.3</v>
      </c>
      <c r="O262">
        <v>10</v>
      </c>
      <c r="P262">
        <v>6.62</v>
      </c>
      <c r="Q262">
        <v>0</v>
      </c>
      <c r="R262">
        <v>4.2</v>
      </c>
      <c r="S262">
        <v>528852.62</v>
      </c>
      <c r="T262">
        <v>68426.210000000006</v>
      </c>
    </row>
    <row r="263" spans="1:20">
      <c r="A263" t="s">
        <v>87</v>
      </c>
      <c r="B263" s="14">
        <v>45689</v>
      </c>
      <c r="C263" t="s">
        <v>27</v>
      </c>
      <c r="D263">
        <f t="shared" si="24"/>
        <v>0</v>
      </c>
      <c r="E263">
        <f t="shared" si="25"/>
        <v>0</v>
      </c>
      <c r="F263">
        <f t="shared" si="26"/>
        <v>1</v>
      </c>
      <c r="G263" t="s">
        <v>18</v>
      </c>
      <c r="H263">
        <f t="shared" si="27"/>
        <v>1</v>
      </c>
      <c r="I263">
        <f t="shared" si="28"/>
        <v>0</v>
      </c>
      <c r="J263">
        <f t="shared" si="29"/>
        <v>0</v>
      </c>
      <c r="K263">
        <v>43288.2</v>
      </c>
      <c r="L263">
        <v>4783</v>
      </c>
      <c r="M263">
        <v>0.16900000000000001</v>
      </c>
      <c r="N263">
        <v>87.3</v>
      </c>
      <c r="O263">
        <v>13</v>
      </c>
      <c r="P263">
        <v>3.3650000000000002</v>
      </c>
      <c r="Q263">
        <v>0</v>
      </c>
      <c r="R263">
        <v>4.2</v>
      </c>
      <c r="S263">
        <v>605751.32999999996</v>
      </c>
      <c r="T263">
        <v>60685.53</v>
      </c>
    </row>
    <row r="264" spans="1:20">
      <c r="A264" t="s">
        <v>87</v>
      </c>
      <c r="B264" s="14">
        <v>45717</v>
      </c>
      <c r="C264" t="s">
        <v>27</v>
      </c>
      <c r="D264">
        <f t="shared" si="24"/>
        <v>0</v>
      </c>
      <c r="E264">
        <f t="shared" si="25"/>
        <v>0</v>
      </c>
      <c r="F264">
        <f t="shared" si="26"/>
        <v>1</v>
      </c>
      <c r="G264" t="s">
        <v>18</v>
      </c>
      <c r="H264">
        <f t="shared" si="27"/>
        <v>1</v>
      </c>
      <c r="I264">
        <f t="shared" si="28"/>
        <v>0</v>
      </c>
      <c r="J264">
        <f t="shared" si="29"/>
        <v>0</v>
      </c>
      <c r="K264">
        <v>51450.55</v>
      </c>
      <c r="L264">
        <v>4902</v>
      </c>
      <c r="M264">
        <v>8.5999999999999993E-2</v>
      </c>
      <c r="N264">
        <v>83.7</v>
      </c>
      <c r="O264">
        <v>11</v>
      </c>
      <c r="P264">
        <v>6.92</v>
      </c>
      <c r="Q264">
        <v>1</v>
      </c>
      <c r="R264">
        <v>4.2</v>
      </c>
      <c r="S264">
        <v>677640.65</v>
      </c>
      <c r="T264">
        <v>111610.89</v>
      </c>
    </row>
    <row r="265" spans="1:20">
      <c r="A265" t="s">
        <v>87</v>
      </c>
      <c r="B265" s="14">
        <v>45748</v>
      </c>
      <c r="C265" t="s">
        <v>27</v>
      </c>
      <c r="D265">
        <f t="shared" si="24"/>
        <v>0</v>
      </c>
      <c r="E265">
        <f t="shared" si="25"/>
        <v>0</v>
      </c>
      <c r="F265">
        <f t="shared" si="26"/>
        <v>1</v>
      </c>
      <c r="G265" t="s">
        <v>18</v>
      </c>
      <c r="H265">
        <f t="shared" si="27"/>
        <v>1</v>
      </c>
      <c r="I265">
        <f t="shared" si="28"/>
        <v>0</v>
      </c>
      <c r="J265">
        <f t="shared" si="29"/>
        <v>0</v>
      </c>
      <c r="K265">
        <v>58688.26</v>
      </c>
      <c r="L265">
        <v>4022</v>
      </c>
      <c r="M265">
        <v>0.217</v>
      </c>
      <c r="N265">
        <v>93.8</v>
      </c>
      <c r="O265">
        <v>12</v>
      </c>
      <c r="P265">
        <v>11.78</v>
      </c>
      <c r="Q265">
        <v>0</v>
      </c>
      <c r="R265">
        <v>3.7</v>
      </c>
      <c r="S265">
        <v>636613.23</v>
      </c>
      <c r="T265">
        <v>78908.350000000006</v>
      </c>
    </row>
    <row r="266" spans="1:20">
      <c r="A266" t="s">
        <v>88</v>
      </c>
      <c r="B266" s="14">
        <v>45658</v>
      </c>
      <c r="C266" t="s">
        <v>15</v>
      </c>
      <c r="D266">
        <f t="shared" si="24"/>
        <v>0</v>
      </c>
      <c r="E266">
        <f t="shared" si="25"/>
        <v>0</v>
      </c>
      <c r="F266">
        <f t="shared" si="26"/>
        <v>0</v>
      </c>
      <c r="G266" t="s">
        <v>18</v>
      </c>
      <c r="H266">
        <f t="shared" si="27"/>
        <v>1</v>
      </c>
      <c r="I266">
        <f t="shared" si="28"/>
        <v>0</v>
      </c>
      <c r="J266">
        <f t="shared" si="29"/>
        <v>0</v>
      </c>
      <c r="K266">
        <v>58981.91</v>
      </c>
      <c r="L266">
        <v>7324</v>
      </c>
      <c r="M266">
        <v>9.4E-2</v>
      </c>
      <c r="N266">
        <v>95.8</v>
      </c>
      <c r="O266">
        <v>15</v>
      </c>
      <c r="P266">
        <v>0.5</v>
      </c>
      <c r="Q266">
        <v>0</v>
      </c>
      <c r="R266">
        <v>3.5</v>
      </c>
      <c r="S266">
        <v>708985.19</v>
      </c>
      <c r="T266">
        <v>125368.16</v>
      </c>
    </row>
    <row r="267" spans="1:20">
      <c r="A267" t="s">
        <v>88</v>
      </c>
      <c r="B267" s="14">
        <v>45689</v>
      </c>
      <c r="C267" t="s">
        <v>15</v>
      </c>
      <c r="D267">
        <f t="shared" si="24"/>
        <v>0</v>
      </c>
      <c r="E267">
        <f t="shared" si="25"/>
        <v>0</v>
      </c>
      <c r="F267">
        <f t="shared" si="26"/>
        <v>0</v>
      </c>
      <c r="G267" t="s">
        <v>18</v>
      </c>
      <c r="H267">
        <f t="shared" si="27"/>
        <v>1</v>
      </c>
      <c r="I267">
        <f t="shared" si="28"/>
        <v>0</v>
      </c>
      <c r="J267">
        <f t="shared" si="29"/>
        <v>0</v>
      </c>
      <c r="K267">
        <v>73454.539999999994</v>
      </c>
      <c r="L267">
        <v>8129</v>
      </c>
      <c r="M267">
        <v>0.21099999999999999</v>
      </c>
      <c r="N267">
        <v>85.2</v>
      </c>
      <c r="O267">
        <v>20</v>
      </c>
      <c r="P267">
        <v>0.88</v>
      </c>
      <c r="Q267">
        <v>0</v>
      </c>
      <c r="R267">
        <v>3.7</v>
      </c>
      <c r="S267">
        <v>767792.94</v>
      </c>
      <c r="T267">
        <v>96235.77</v>
      </c>
    </row>
    <row r="268" spans="1:20">
      <c r="A268" t="s">
        <v>88</v>
      </c>
      <c r="B268" s="14">
        <v>45717</v>
      </c>
      <c r="C268" t="s">
        <v>15</v>
      </c>
      <c r="D268">
        <f t="shared" si="24"/>
        <v>0</v>
      </c>
      <c r="E268">
        <f t="shared" si="25"/>
        <v>0</v>
      </c>
      <c r="F268">
        <f t="shared" si="26"/>
        <v>0</v>
      </c>
      <c r="G268" t="s">
        <v>18</v>
      </c>
      <c r="H268">
        <f t="shared" si="27"/>
        <v>1</v>
      </c>
      <c r="I268">
        <f t="shared" si="28"/>
        <v>0</v>
      </c>
      <c r="J268">
        <f t="shared" si="29"/>
        <v>0</v>
      </c>
      <c r="K268">
        <v>56602.39</v>
      </c>
      <c r="L268">
        <v>7969</v>
      </c>
      <c r="M268">
        <v>0.17</v>
      </c>
      <c r="N268">
        <v>88.3</v>
      </c>
      <c r="O268">
        <v>21</v>
      </c>
      <c r="P268">
        <v>2.25</v>
      </c>
      <c r="Q268">
        <v>0</v>
      </c>
      <c r="R268">
        <v>3.7</v>
      </c>
      <c r="S268">
        <v>745580.51</v>
      </c>
      <c r="T268">
        <v>116273.68</v>
      </c>
    </row>
    <row r="269" spans="1:20">
      <c r="A269" t="s">
        <v>88</v>
      </c>
      <c r="B269" s="14">
        <v>45748</v>
      </c>
      <c r="C269" t="s">
        <v>15</v>
      </c>
      <c r="D269">
        <f t="shared" si="24"/>
        <v>0</v>
      </c>
      <c r="E269">
        <f t="shared" si="25"/>
        <v>0</v>
      </c>
      <c r="F269">
        <f t="shared" si="26"/>
        <v>0</v>
      </c>
      <c r="G269" t="s">
        <v>18</v>
      </c>
      <c r="H269">
        <f t="shared" si="27"/>
        <v>1</v>
      </c>
      <c r="I269">
        <f t="shared" si="28"/>
        <v>0</v>
      </c>
      <c r="J269">
        <f t="shared" si="29"/>
        <v>0</v>
      </c>
      <c r="K269">
        <v>67722.289999999994</v>
      </c>
      <c r="L269">
        <v>7240</v>
      </c>
      <c r="M269">
        <v>2.5999999999999999E-2</v>
      </c>
      <c r="N269">
        <v>92.9</v>
      </c>
      <c r="O269">
        <v>15</v>
      </c>
      <c r="P269">
        <v>0.28999999999999998</v>
      </c>
      <c r="Q269">
        <v>0</v>
      </c>
      <c r="R269">
        <v>3.5</v>
      </c>
      <c r="S269">
        <v>762328.31</v>
      </c>
      <c r="T269">
        <v>159158.19</v>
      </c>
    </row>
    <row r="270" spans="1:20">
      <c r="A270" t="s">
        <v>89</v>
      </c>
      <c r="B270" s="14">
        <v>45658</v>
      </c>
      <c r="C270" t="s">
        <v>15</v>
      </c>
      <c r="D270">
        <f t="shared" si="24"/>
        <v>0</v>
      </c>
      <c r="E270">
        <f t="shared" si="25"/>
        <v>0</v>
      </c>
      <c r="F270">
        <f t="shared" si="26"/>
        <v>0</v>
      </c>
      <c r="G270" t="s">
        <v>28</v>
      </c>
      <c r="H270">
        <f t="shared" si="27"/>
        <v>0</v>
      </c>
      <c r="I270">
        <f t="shared" si="28"/>
        <v>0</v>
      </c>
      <c r="J270">
        <f t="shared" si="29"/>
        <v>0</v>
      </c>
      <c r="K270">
        <v>48752.92</v>
      </c>
      <c r="L270">
        <v>8052</v>
      </c>
      <c r="M270">
        <v>0.106</v>
      </c>
      <c r="N270">
        <v>94.9</v>
      </c>
      <c r="O270">
        <v>16</v>
      </c>
      <c r="P270">
        <v>0.65</v>
      </c>
      <c r="Q270">
        <v>0</v>
      </c>
      <c r="R270">
        <v>3.6</v>
      </c>
      <c r="S270">
        <v>660633.99</v>
      </c>
      <c r="T270">
        <v>118768.66</v>
      </c>
    </row>
    <row r="271" spans="1:20">
      <c r="A271" t="s">
        <v>89</v>
      </c>
      <c r="B271" s="14">
        <v>45689</v>
      </c>
      <c r="C271" t="s">
        <v>15</v>
      </c>
      <c r="D271">
        <f t="shared" si="24"/>
        <v>0</v>
      </c>
      <c r="E271">
        <f t="shared" si="25"/>
        <v>0</v>
      </c>
      <c r="F271">
        <f t="shared" si="26"/>
        <v>0</v>
      </c>
      <c r="G271" t="s">
        <v>28</v>
      </c>
      <c r="H271">
        <f t="shared" si="27"/>
        <v>0</v>
      </c>
      <c r="I271">
        <f t="shared" si="28"/>
        <v>0</v>
      </c>
      <c r="J271">
        <f t="shared" si="29"/>
        <v>0</v>
      </c>
      <c r="K271">
        <v>23914.97</v>
      </c>
      <c r="L271">
        <v>8018</v>
      </c>
      <c r="M271">
        <v>0.13900000000000001</v>
      </c>
      <c r="N271">
        <v>89</v>
      </c>
      <c r="O271">
        <v>20</v>
      </c>
      <c r="P271">
        <v>0.2</v>
      </c>
      <c r="Q271">
        <v>0</v>
      </c>
      <c r="R271">
        <v>3.5</v>
      </c>
      <c r="S271">
        <v>739374.56</v>
      </c>
      <c r="T271">
        <v>121032.29</v>
      </c>
    </row>
    <row r="272" spans="1:20">
      <c r="A272" t="s">
        <v>89</v>
      </c>
      <c r="B272" s="14">
        <v>45717</v>
      </c>
      <c r="C272" t="s">
        <v>15</v>
      </c>
      <c r="D272">
        <f t="shared" si="24"/>
        <v>0</v>
      </c>
      <c r="E272">
        <f t="shared" si="25"/>
        <v>0</v>
      </c>
      <c r="F272">
        <f t="shared" si="26"/>
        <v>0</v>
      </c>
      <c r="G272" t="s">
        <v>28</v>
      </c>
      <c r="H272">
        <f t="shared" si="27"/>
        <v>0</v>
      </c>
      <c r="I272">
        <f t="shared" si="28"/>
        <v>0</v>
      </c>
      <c r="J272">
        <f t="shared" si="29"/>
        <v>0</v>
      </c>
      <c r="K272">
        <v>61995.3</v>
      </c>
      <c r="L272">
        <v>10192</v>
      </c>
      <c r="M272">
        <v>0.19800000000000001</v>
      </c>
      <c r="N272">
        <v>87.6</v>
      </c>
      <c r="O272">
        <v>21</v>
      </c>
      <c r="P272">
        <v>3.63</v>
      </c>
      <c r="Q272">
        <v>1</v>
      </c>
      <c r="R272">
        <v>3.8</v>
      </c>
      <c r="S272">
        <v>799756.46</v>
      </c>
      <c r="T272">
        <v>105052.93</v>
      </c>
    </row>
    <row r="273" spans="1:20">
      <c r="A273" t="s">
        <v>89</v>
      </c>
      <c r="B273" s="14">
        <v>45748</v>
      </c>
      <c r="C273" t="s">
        <v>15</v>
      </c>
      <c r="D273">
        <f t="shared" si="24"/>
        <v>0</v>
      </c>
      <c r="E273">
        <f t="shared" si="25"/>
        <v>0</v>
      </c>
      <c r="F273">
        <f t="shared" si="26"/>
        <v>0</v>
      </c>
      <c r="G273" t="s">
        <v>28</v>
      </c>
      <c r="H273">
        <f t="shared" si="27"/>
        <v>0</v>
      </c>
      <c r="I273">
        <f t="shared" si="28"/>
        <v>0</v>
      </c>
      <c r="J273">
        <f t="shared" si="29"/>
        <v>0</v>
      </c>
      <c r="K273">
        <v>29344.93</v>
      </c>
      <c r="L273">
        <v>7446</v>
      </c>
      <c r="M273">
        <v>0.111</v>
      </c>
      <c r="N273">
        <v>86.2</v>
      </c>
      <c r="O273">
        <v>15</v>
      </c>
      <c r="P273">
        <v>0.2</v>
      </c>
      <c r="Q273">
        <v>0</v>
      </c>
      <c r="R273">
        <v>3.2</v>
      </c>
      <c r="S273">
        <v>593343</v>
      </c>
      <c r="T273">
        <v>82832.240000000005</v>
      </c>
    </row>
    <row r="274" spans="1:20">
      <c r="A274" t="s">
        <v>90</v>
      </c>
      <c r="B274" s="14">
        <v>45658</v>
      </c>
      <c r="C274" t="s">
        <v>27</v>
      </c>
      <c r="D274">
        <f t="shared" si="24"/>
        <v>0</v>
      </c>
      <c r="E274">
        <f t="shared" si="25"/>
        <v>0</v>
      </c>
      <c r="F274">
        <f t="shared" si="26"/>
        <v>1</v>
      </c>
      <c r="G274" t="s">
        <v>18</v>
      </c>
      <c r="H274">
        <f t="shared" si="27"/>
        <v>1</v>
      </c>
      <c r="I274">
        <f t="shared" si="28"/>
        <v>0</v>
      </c>
      <c r="J274">
        <f t="shared" si="29"/>
        <v>0</v>
      </c>
      <c r="K274">
        <v>50532.17</v>
      </c>
      <c r="L274">
        <v>5689</v>
      </c>
      <c r="M274">
        <v>5.1999999999999998E-2</v>
      </c>
      <c r="N274">
        <v>85.6</v>
      </c>
      <c r="O274">
        <v>17</v>
      </c>
      <c r="P274">
        <v>6.23</v>
      </c>
      <c r="Q274">
        <v>0</v>
      </c>
      <c r="R274">
        <v>3.3</v>
      </c>
      <c r="S274">
        <v>645039.97</v>
      </c>
      <c r="T274">
        <v>83093.33</v>
      </c>
    </row>
    <row r="275" spans="1:20">
      <c r="A275" t="s">
        <v>90</v>
      </c>
      <c r="B275" s="14">
        <v>45689</v>
      </c>
      <c r="C275" t="s">
        <v>27</v>
      </c>
      <c r="D275">
        <f t="shared" si="24"/>
        <v>0</v>
      </c>
      <c r="E275">
        <f t="shared" si="25"/>
        <v>0</v>
      </c>
      <c r="F275">
        <f t="shared" si="26"/>
        <v>1</v>
      </c>
      <c r="G275" t="s">
        <v>18</v>
      </c>
      <c r="H275">
        <f t="shared" si="27"/>
        <v>1</v>
      </c>
      <c r="I275">
        <f t="shared" si="28"/>
        <v>0</v>
      </c>
      <c r="J275">
        <f t="shared" si="29"/>
        <v>0</v>
      </c>
      <c r="K275">
        <v>17562.57</v>
      </c>
      <c r="L275">
        <v>3326</v>
      </c>
      <c r="M275">
        <v>0.153</v>
      </c>
      <c r="N275">
        <v>88.1</v>
      </c>
      <c r="O275">
        <v>14</v>
      </c>
      <c r="P275">
        <v>1.04</v>
      </c>
      <c r="Q275">
        <v>0</v>
      </c>
      <c r="R275">
        <v>3.1</v>
      </c>
      <c r="S275">
        <v>561597.32999999996</v>
      </c>
      <c r="T275">
        <v>75072.75</v>
      </c>
    </row>
    <row r="276" spans="1:20">
      <c r="A276" t="s">
        <v>90</v>
      </c>
      <c r="B276" s="14">
        <v>45717</v>
      </c>
      <c r="C276" t="s">
        <v>27</v>
      </c>
      <c r="D276">
        <f t="shared" si="24"/>
        <v>0</v>
      </c>
      <c r="E276">
        <f t="shared" si="25"/>
        <v>0</v>
      </c>
      <c r="F276">
        <f t="shared" si="26"/>
        <v>1</v>
      </c>
      <c r="G276" t="s">
        <v>18</v>
      </c>
      <c r="H276">
        <f t="shared" si="27"/>
        <v>1</v>
      </c>
      <c r="I276">
        <f t="shared" si="28"/>
        <v>0</v>
      </c>
      <c r="J276">
        <f t="shared" si="29"/>
        <v>0</v>
      </c>
      <c r="K276">
        <v>47648.71</v>
      </c>
      <c r="L276">
        <v>5767</v>
      </c>
      <c r="M276">
        <v>0.14099999999999999</v>
      </c>
      <c r="N276">
        <v>89.8</v>
      </c>
      <c r="O276">
        <v>17</v>
      </c>
      <c r="P276">
        <v>1.76</v>
      </c>
      <c r="Q276">
        <v>0</v>
      </c>
      <c r="R276">
        <v>3.1</v>
      </c>
      <c r="S276">
        <v>635837.74</v>
      </c>
      <c r="T276">
        <v>114740.64</v>
      </c>
    </row>
    <row r="277" spans="1:20">
      <c r="A277" t="s">
        <v>90</v>
      </c>
      <c r="B277" s="14">
        <v>45748</v>
      </c>
      <c r="C277" t="s">
        <v>27</v>
      </c>
      <c r="D277">
        <f t="shared" si="24"/>
        <v>0</v>
      </c>
      <c r="E277">
        <f t="shared" si="25"/>
        <v>0</v>
      </c>
      <c r="F277">
        <f t="shared" si="26"/>
        <v>1</v>
      </c>
      <c r="G277" t="s">
        <v>18</v>
      </c>
      <c r="H277">
        <f t="shared" si="27"/>
        <v>1</v>
      </c>
      <c r="I277">
        <f t="shared" si="28"/>
        <v>0</v>
      </c>
      <c r="J277">
        <f t="shared" si="29"/>
        <v>0</v>
      </c>
      <c r="K277">
        <v>38297.58</v>
      </c>
      <c r="L277">
        <v>5893</v>
      </c>
      <c r="M277">
        <v>0.247</v>
      </c>
      <c r="N277">
        <v>77.599999999999994</v>
      </c>
      <c r="O277">
        <v>18</v>
      </c>
      <c r="P277">
        <v>2.86</v>
      </c>
      <c r="Q277">
        <v>0</v>
      </c>
      <c r="R277">
        <v>3</v>
      </c>
      <c r="S277">
        <v>686737.87</v>
      </c>
      <c r="T277">
        <v>83839.67</v>
      </c>
    </row>
    <row r="278" spans="1:20">
      <c r="A278" t="s">
        <v>91</v>
      </c>
      <c r="B278" s="14">
        <v>45658</v>
      </c>
      <c r="C278" t="s">
        <v>24</v>
      </c>
      <c r="D278">
        <f t="shared" si="24"/>
        <v>0</v>
      </c>
      <c r="E278">
        <f t="shared" si="25"/>
        <v>1</v>
      </c>
      <c r="F278">
        <f t="shared" si="26"/>
        <v>0</v>
      </c>
      <c r="G278" t="s">
        <v>16</v>
      </c>
      <c r="H278">
        <f t="shared" si="27"/>
        <v>0</v>
      </c>
      <c r="I278">
        <f t="shared" si="28"/>
        <v>1</v>
      </c>
      <c r="J278">
        <f t="shared" si="29"/>
        <v>0</v>
      </c>
      <c r="K278">
        <v>61784.11</v>
      </c>
      <c r="L278">
        <v>8564</v>
      </c>
      <c r="M278">
        <v>0.13</v>
      </c>
      <c r="N278">
        <v>87.4</v>
      </c>
      <c r="O278">
        <v>17</v>
      </c>
      <c r="P278">
        <v>18.14</v>
      </c>
      <c r="Q278">
        <v>1</v>
      </c>
      <c r="R278">
        <v>3.4</v>
      </c>
      <c r="S278">
        <v>673076.34</v>
      </c>
      <c r="T278">
        <v>93899.76</v>
      </c>
    </row>
    <row r="279" spans="1:20">
      <c r="A279" t="s">
        <v>91</v>
      </c>
      <c r="B279" s="14">
        <v>45689</v>
      </c>
      <c r="C279" t="s">
        <v>24</v>
      </c>
      <c r="D279">
        <f t="shared" si="24"/>
        <v>0</v>
      </c>
      <c r="E279">
        <f t="shared" si="25"/>
        <v>1</v>
      </c>
      <c r="F279">
        <f t="shared" si="26"/>
        <v>0</v>
      </c>
      <c r="G279" t="s">
        <v>16</v>
      </c>
      <c r="H279">
        <f t="shared" si="27"/>
        <v>0</v>
      </c>
      <c r="I279">
        <f t="shared" si="28"/>
        <v>1</v>
      </c>
      <c r="J279">
        <f t="shared" si="29"/>
        <v>0</v>
      </c>
      <c r="K279">
        <v>36832.33</v>
      </c>
      <c r="L279">
        <v>8001</v>
      </c>
      <c r="M279">
        <v>0</v>
      </c>
      <c r="N279">
        <v>88.7</v>
      </c>
      <c r="O279">
        <v>19</v>
      </c>
      <c r="P279">
        <v>3.39</v>
      </c>
      <c r="Q279">
        <v>0</v>
      </c>
      <c r="R279">
        <v>4</v>
      </c>
      <c r="S279">
        <v>738548.42</v>
      </c>
      <c r="T279">
        <v>134282.76999999999</v>
      </c>
    </row>
    <row r="280" spans="1:20">
      <c r="A280" t="s">
        <v>91</v>
      </c>
      <c r="B280" s="14">
        <v>45717</v>
      </c>
      <c r="C280" t="s">
        <v>24</v>
      </c>
      <c r="D280">
        <f t="shared" si="24"/>
        <v>0</v>
      </c>
      <c r="E280">
        <f t="shared" si="25"/>
        <v>1</v>
      </c>
      <c r="F280">
        <f t="shared" si="26"/>
        <v>0</v>
      </c>
      <c r="G280" t="s">
        <v>16</v>
      </c>
      <c r="H280">
        <f t="shared" si="27"/>
        <v>0</v>
      </c>
      <c r="I280">
        <f t="shared" si="28"/>
        <v>1</v>
      </c>
      <c r="J280">
        <f t="shared" si="29"/>
        <v>0</v>
      </c>
      <c r="K280">
        <v>48609.41</v>
      </c>
      <c r="L280">
        <v>9324</v>
      </c>
      <c r="M280">
        <v>0.21299999999999999</v>
      </c>
      <c r="N280">
        <v>86.5</v>
      </c>
      <c r="O280">
        <v>18</v>
      </c>
      <c r="P280">
        <v>1.44</v>
      </c>
      <c r="Q280">
        <v>0</v>
      </c>
      <c r="R280">
        <v>3.9</v>
      </c>
      <c r="S280">
        <v>756619.77</v>
      </c>
      <c r="T280">
        <v>112057.69</v>
      </c>
    </row>
    <row r="281" spans="1:20">
      <c r="A281" t="s">
        <v>91</v>
      </c>
      <c r="B281" s="14">
        <v>45748</v>
      </c>
      <c r="C281" t="s">
        <v>24</v>
      </c>
      <c r="D281">
        <f t="shared" si="24"/>
        <v>0</v>
      </c>
      <c r="E281">
        <f t="shared" si="25"/>
        <v>1</v>
      </c>
      <c r="F281">
        <f t="shared" si="26"/>
        <v>0</v>
      </c>
      <c r="G281" t="s">
        <v>16</v>
      </c>
      <c r="H281">
        <f t="shared" si="27"/>
        <v>0</v>
      </c>
      <c r="I281">
        <f t="shared" si="28"/>
        <v>1</v>
      </c>
      <c r="J281">
        <f t="shared" si="29"/>
        <v>0</v>
      </c>
      <c r="K281">
        <v>70284.06</v>
      </c>
      <c r="L281">
        <v>9109</v>
      </c>
      <c r="M281">
        <v>4.0000000000000001E-3</v>
      </c>
      <c r="N281">
        <v>87</v>
      </c>
      <c r="O281">
        <v>23</v>
      </c>
      <c r="P281">
        <v>3.65</v>
      </c>
      <c r="Q281">
        <v>0</v>
      </c>
      <c r="R281">
        <v>3.7</v>
      </c>
      <c r="S281">
        <v>761122.42</v>
      </c>
      <c r="T281">
        <v>149802.04</v>
      </c>
    </row>
    <row r="282" spans="1:20">
      <c r="A282" t="s">
        <v>92</v>
      </c>
      <c r="B282" s="14">
        <v>45658</v>
      </c>
      <c r="C282" t="s">
        <v>24</v>
      </c>
      <c r="D282">
        <f t="shared" si="24"/>
        <v>0</v>
      </c>
      <c r="E282">
        <f t="shared" si="25"/>
        <v>1</v>
      </c>
      <c r="F282">
        <f t="shared" si="26"/>
        <v>0</v>
      </c>
      <c r="G282" t="s">
        <v>18</v>
      </c>
      <c r="H282">
        <f t="shared" si="27"/>
        <v>1</v>
      </c>
      <c r="I282">
        <f t="shared" si="28"/>
        <v>0</v>
      </c>
      <c r="J282">
        <f t="shared" si="29"/>
        <v>0</v>
      </c>
      <c r="K282">
        <v>45940.39</v>
      </c>
      <c r="L282">
        <v>4022</v>
      </c>
      <c r="M282">
        <v>6.9000000000000006E-2</v>
      </c>
      <c r="N282">
        <v>83</v>
      </c>
      <c r="O282">
        <v>10</v>
      </c>
      <c r="P282">
        <v>1.23</v>
      </c>
      <c r="Q282">
        <v>1</v>
      </c>
      <c r="R282">
        <v>3.8</v>
      </c>
      <c r="S282">
        <v>524899.56999999995</v>
      </c>
      <c r="T282">
        <v>63619.98</v>
      </c>
    </row>
    <row r="283" spans="1:20">
      <c r="A283" t="s">
        <v>92</v>
      </c>
      <c r="B283" s="14">
        <v>45689</v>
      </c>
      <c r="C283" t="s">
        <v>24</v>
      </c>
      <c r="D283">
        <f t="shared" si="24"/>
        <v>0</v>
      </c>
      <c r="E283">
        <f t="shared" si="25"/>
        <v>1</v>
      </c>
      <c r="F283">
        <f t="shared" si="26"/>
        <v>0</v>
      </c>
      <c r="G283" t="s">
        <v>18</v>
      </c>
      <c r="H283">
        <f t="shared" si="27"/>
        <v>1</v>
      </c>
      <c r="I283">
        <f t="shared" si="28"/>
        <v>0</v>
      </c>
      <c r="J283">
        <f t="shared" si="29"/>
        <v>0</v>
      </c>
      <c r="K283">
        <v>34771.26</v>
      </c>
      <c r="L283">
        <v>4355</v>
      </c>
      <c r="M283">
        <v>5.0999999999999997E-2</v>
      </c>
      <c r="N283">
        <v>87.9</v>
      </c>
      <c r="O283">
        <v>15</v>
      </c>
      <c r="P283">
        <v>3.09</v>
      </c>
      <c r="Q283">
        <v>0</v>
      </c>
      <c r="R283">
        <v>4</v>
      </c>
      <c r="S283">
        <v>555557.77</v>
      </c>
      <c r="T283">
        <v>86475.51</v>
      </c>
    </row>
    <row r="284" spans="1:20">
      <c r="A284" t="s">
        <v>92</v>
      </c>
      <c r="B284" s="14">
        <v>45717</v>
      </c>
      <c r="C284" t="s">
        <v>24</v>
      </c>
      <c r="D284">
        <f t="shared" si="24"/>
        <v>0</v>
      </c>
      <c r="E284">
        <f t="shared" si="25"/>
        <v>1</v>
      </c>
      <c r="F284">
        <f t="shared" si="26"/>
        <v>0</v>
      </c>
      <c r="G284" t="s">
        <v>18</v>
      </c>
      <c r="H284">
        <f t="shared" si="27"/>
        <v>1</v>
      </c>
      <c r="I284">
        <f t="shared" si="28"/>
        <v>0</v>
      </c>
      <c r="J284">
        <f t="shared" si="29"/>
        <v>0</v>
      </c>
      <c r="K284">
        <v>66104.19</v>
      </c>
      <c r="L284">
        <v>5745</v>
      </c>
      <c r="M284">
        <v>7.0000000000000007E-2</v>
      </c>
      <c r="N284">
        <v>95.8</v>
      </c>
      <c r="O284">
        <v>17</v>
      </c>
      <c r="P284">
        <v>3.15</v>
      </c>
      <c r="Q284">
        <v>0</v>
      </c>
      <c r="R284">
        <v>4</v>
      </c>
      <c r="S284">
        <v>714083.68</v>
      </c>
      <c r="T284">
        <v>127231.74</v>
      </c>
    </row>
    <row r="285" spans="1:20">
      <c r="A285" t="s">
        <v>92</v>
      </c>
      <c r="B285" s="14">
        <v>45748</v>
      </c>
      <c r="C285" t="s">
        <v>24</v>
      </c>
      <c r="D285">
        <f t="shared" si="24"/>
        <v>0</v>
      </c>
      <c r="E285">
        <f t="shared" si="25"/>
        <v>1</v>
      </c>
      <c r="F285">
        <f t="shared" si="26"/>
        <v>0</v>
      </c>
      <c r="G285" t="s">
        <v>18</v>
      </c>
      <c r="H285">
        <f t="shared" si="27"/>
        <v>1</v>
      </c>
      <c r="I285">
        <f t="shared" si="28"/>
        <v>0</v>
      </c>
      <c r="J285">
        <f t="shared" si="29"/>
        <v>0</v>
      </c>
      <c r="K285">
        <v>18599.21</v>
      </c>
      <c r="L285">
        <v>3027</v>
      </c>
      <c r="M285">
        <v>0.122</v>
      </c>
      <c r="N285">
        <v>80.900000000000006</v>
      </c>
      <c r="O285">
        <v>11</v>
      </c>
      <c r="P285">
        <v>6.44</v>
      </c>
      <c r="Q285">
        <v>0</v>
      </c>
      <c r="R285">
        <v>4.2</v>
      </c>
      <c r="S285">
        <v>497439.82</v>
      </c>
      <c r="T285">
        <v>93372.75</v>
      </c>
    </row>
    <row r="286" spans="1:20">
      <c r="A286" t="s">
        <v>93</v>
      </c>
      <c r="B286" s="14">
        <v>45658</v>
      </c>
      <c r="C286" t="s">
        <v>27</v>
      </c>
      <c r="D286">
        <f t="shared" si="24"/>
        <v>0</v>
      </c>
      <c r="E286">
        <f t="shared" si="25"/>
        <v>0</v>
      </c>
      <c r="F286">
        <f t="shared" si="26"/>
        <v>1</v>
      </c>
      <c r="G286" t="s">
        <v>16</v>
      </c>
      <c r="H286">
        <f t="shared" si="27"/>
        <v>0</v>
      </c>
      <c r="I286">
        <f t="shared" si="28"/>
        <v>1</v>
      </c>
      <c r="J286">
        <f t="shared" si="29"/>
        <v>0</v>
      </c>
      <c r="K286">
        <v>60183.06</v>
      </c>
      <c r="L286">
        <v>5562</v>
      </c>
      <c r="M286">
        <v>8.9999999999999993E-3</v>
      </c>
      <c r="N286">
        <v>86.3</v>
      </c>
      <c r="O286">
        <v>13</v>
      </c>
      <c r="P286">
        <v>0.2</v>
      </c>
      <c r="Q286">
        <v>1</v>
      </c>
      <c r="R286">
        <v>4.5</v>
      </c>
      <c r="S286">
        <v>636775.66</v>
      </c>
      <c r="T286">
        <v>122636.86</v>
      </c>
    </row>
    <row r="287" spans="1:20">
      <c r="A287" t="s">
        <v>93</v>
      </c>
      <c r="B287" s="14">
        <v>45689</v>
      </c>
      <c r="C287" t="s">
        <v>27</v>
      </c>
      <c r="D287">
        <f t="shared" si="24"/>
        <v>0</v>
      </c>
      <c r="E287">
        <f t="shared" si="25"/>
        <v>0</v>
      </c>
      <c r="F287">
        <f t="shared" si="26"/>
        <v>1</v>
      </c>
      <c r="G287" t="s">
        <v>16</v>
      </c>
      <c r="H287">
        <f t="shared" si="27"/>
        <v>0</v>
      </c>
      <c r="I287">
        <f t="shared" si="28"/>
        <v>1</v>
      </c>
      <c r="J287">
        <f t="shared" si="29"/>
        <v>0</v>
      </c>
      <c r="K287">
        <v>74539.14</v>
      </c>
      <c r="L287">
        <v>4487</v>
      </c>
      <c r="M287">
        <v>0.14000000000000001</v>
      </c>
      <c r="N287">
        <v>90.4</v>
      </c>
      <c r="O287">
        <v>10</v>
      </c>
      <c r="P287">
        <v>0.59</v>
      </c>
      <c r="Q287">
        <v>0</v>
      </c>
      <c r="R287">
        <v>4.5</v>
      </c>
      <c r="S287">
        <v>633009.53</v>
      </c>
      <c r="T287">
        <v>123782.67</v>
      </c>
    </row>
    <row r="288" spans="1:20">
      <c r="A288" t="s">
        <v>93</v>
      </c>
      <c r="B288" s="14">
        <v>45717</v>
      </c>
      <c r="C288" t="s">
        <v>27</v>
      </c>
      <c r="D288">
        <f t="shared" si="24"/>
        <v>0</v>
      </c>
      <c r="E288">
        <f t="shared" si="25"/>
        <v>0</v>
      </c>
      <c r="F288">
        <f t="shared" si="26"/>
        <v>1</v>
      </c>
      <c r="G288" t="s">
        <v>16</v>
      </c>
      <c r="H288">
        <f t="shared" si="27"/>
        <v>0</v>
      </c>
      <c r="I288">
        <f t="shared" si="28"/>
        <v>1</v>
      </c>
      <c r="J288">
        <f t="shared" si="29"/>
        <v>0</v>
      </c>
      <c r="K288">
        <v>55371.97</v>
      </c>
      <c r="L288">
        <v>4162</v>
      </c>
      <c r="M288">
        <v>0.183</v>
      </c>
      <c r="N288">
        <v>92</v>
      </c>
      <c r="O288">
        <v>11</v>
      </c>
      <c r="P288">
        <v>0.2</v>
      </c>
      <c r="Q288">
        <v>1</v>
      </c>
      <c r="R288">
        <v>4.2</v>
      </c>
      <c r="S288">
        <v>609949</v>
      </c>
      <c r="T288">
        <v>126789.25</v>
      </c>
    </row>
    <row r="289" spans="1:20">
      <c r="A289" t="s">
        <v>93</v>
      </c>
      <c r="B289" s="14">
        <v>45748</v>
      </c>
      <c r="C289" t="s">
        <v>27</v>
      </c>
      <c r="D289">
        <f t="shared" si="24"/>
        <v>0</v>
      </c>
      <c r="E289">
        <f t="shared" si="25"/>
        <v>0</v>
      </c>
      <c r="F289">
        <f t="shared" si="26"/>
        <v>1</v>
      </c>
      <c r="G289" t="s">
        <v>16</v>
      </c>
      <c r="H289">
        <f t="shared" si="27"/>
        <v>0</v>
      </c>
      <c r="I289">
        <f t="shared" si="28"/>
        <v>1</v>
      </c>
      <c r="J289">
        <f t="shared" si="29"/>
        <v>0</v>
      </c>
      <c r="K289">
        <v>40928.69</v>
      </c>
      <c r="L289">
        <v>4094</v>
      </c>
      <c r="M289">
        <v>0.17399999999999999</v>
      </c>
      <c r="N289">
        <v>82.4</v>
      </c>
      <c r="O289">
        <v>13</v>
      </c>
      <c r="P289">
        <v>1.36</v>
      </c>
      <c r="Q289">
        <v>0</v>
      </c>
      <c r="R289">
        <v>4.8</v>
      </c>
      <c r="S289">
        <v>548103.69999999995</v>
      </c>
      <c r="T289">
        <v>99905.52</v>
      </c>
    </row>
    <row r="290" spans="1:20">
      <c r="A290" t="s">
        <v>94</v>
      </c>
      <c r="B290" s="14">
        <v>45658</v>
      </c>
      <c r="C290" t="s">
        <v>15</v>
      </c>
      <c r="D290">
        <f t="shared" si="24"/>
        <v>0</v>
      </c>
      <c r="E290">
        <f t="shared" si="25"/>
        <v>0</v>
      </c>
      <c r="F290">
        <f t="shared" si="26"/>
        <v>0</v>
      </c>
      <c r="G290" t="s">
        <v>16</v>
      </c>
      <c r="H290">
        <f t="shared" si="27"/>
        <v>0</v>
      </c>
      <c r="I290">
        <f t="shared" si="28"/>
        <v>1</v>
      </c>
      <c r="J290">
        <f t="shared" si="29"/>
        <v>0</v>
      </c>
      <c r="K290">
        <v>70012.41</v>
      </c>
      <c r="L290">
        <v>8484</v>
      </c>
      <c r="M290">
        <v>0.27300000000000002</v>
      </c>
      <c r="N290">
        <v>72.900000000000006</v>
      </c>
      <c r="O290">
        <v>23</v>
      </c>
      <c r="P290">
        <v>3.34</v>
      </c>
      <c r="Q290">
        <v>0</v>
      </c>
      <c r="R290">
        <v>3.7</v>
      </c>
      <c r="S290">
        <v>729424.42</v>
      </c>
      <c r="T290">
        <v>75592.28</v>
      </c>
    </row>
    <row r="291" spans="1:20">
      <c r="A291" t="s">
        <v>94</v>
      </c>
      <c r="B291" s="14">
        <v>45689</v>
      </c>
      <c r="C291" t="s">
        <v>15</v>
      </c>
      <c r="D291">
        <f t="shared" si="24"/>
        <v>0</v>
      </c>
      <c r="E291">
        <f t="shared" si="25"/>
        <v>0</v>
      </c>
      <c r="F291">
        <f t="shared" si="26"/>
        <v>0</v>
      </c>
      <c r="G291" t="s">
        <v>16</v>
      </c>
      <c r="H291">
        <f t="shared" si="27"/>
        <v>0</v>
      </c>
      <c r="I291">
        <f t="shared" si="28"/>
        <v>1</v>
      </c>
      <c r="J291">
        <f t="shared" si="29"/>
        <v>0</v>
      </c>
      <c r="K291">
        <v>68909.259999999995</v>
      </c>
      <c r="L291">
        <v>7794</v>
      </c>
      <c r="M291">
        <v>0.28399999999999997</v>
      </c>
      <c r="N291">
        <v>89</v>
      </c>
      <c r="O291">
        <v>22</v>
      </c>
      <c r="P291">
        <v>0.33</v>
      </c>
      <c r="Q291">
        <v>0</v>
      </c>
      <c r="R291">
        <v>4</v>
      </c>
      <c r="S291">
        <v>696261.49</v>
      </c>
      <c r="T291">
        <v>72455.350000000006</v>
      </c>
    </row>
    <row r="292" spans="1:20">
      <c r="A292" t="s">
        <v>94</v>
      </c>
      <c r="B292" s="14">
        <v>45717</v>
      </c>
      <c r="C292" t="s">
        <v>15</v>
      </c>
      <c r="D292">
        <f t="shared" si="24"/>
        <v>0</v>
      </c>
      <c r="E292">
        <f t="shared" si="25"/>
        <v>0</v>
      </c>
      <c r="F292">
        <f t="shared" si="26"/>
        <v>0</v>
      </c>
      <c r="G292" t="s">
        <v>16</v>
      </c>
      <c r="H292">
        <f t="shared" si="27"/>
        <v>0</v>
      </c>
      <c r="I292">
        <f t="shared" si="28"/>
        <v>1</v>
      </c>
      <c r="J292">
        <f t="shared" si="29"/>
        <v>0</v>
      </c>
      <c r="K292">
        <v>56737.3</v>
      </c>
      <c r="L292">
        <v>8300</v>
      </c>
      <c r="M292">
        <v>3.2000000000000001E-2</v>
      </c>
      <c r="N292">
        <v>83.2</v>
      </c>
      <c r="O292">
        <v>21</v>
      </c>
      <c r="P292">
        <v>3.44</v>
      </c>
      <c r="Q292">
        <v>1</v>
      </c>
      <c r="R292">
        <v>4.3</v>
      </c>
      <c r="S292">
        <v>813316.71</v>
      </c>
      <c r="T292">
        <v>110077.42</v>
      </c>
    </row>
    <row r="293" spans="1:20">
      <c r="A293" t="s">
        <v>94</v>
      </c>
      <c r="B293" s="14">
        <v>45748</v>
      </c>
      <c r="C293" t="s">
        <v>15</v>
      </c>
      <c r="D293">
        <f t="shared" si="24"/>
        <v>0</v>
      </c>
      <c r="E293">
        <f t="shared" si="25"/>
        <v>0</v>
      </c>
      <c r="F293">
        <f t="shared" si="26"/>
        <v>0</v>
      </c>
      <c r="G293" t="s">
        <v>16</v>
      </c>
      <c r="H293">
        <f t="shared" si="27"/>
        <v>0</v>
      </c>
      <c r="I293">
        <f t="shared" si="28"/>
        <v>1</v>
      </c>
      <c r="J293">
        <f t="shared" si="29"/>
        <v>0</v>
      </c>
      <c r="K293">
        <v>54080.91</v>
      </c>
      <c r="L293">
        <v>7083</v>
      </c>
      <c r="M293">
        <v>0</v>
      </c>
      <c r="N293">
        <v>97</v>
      </c>
      <c r="O293">
        <v>15</v>
      </c>
      <c r="P293">
        <v>5.33</v>
      </c>
      <c r="Q293">
        <v>0</v>
      </c>
      <c r="R293">
        <v>4.0999999999999996</v>
      </c>
      <c r="S293">
        <v>702068.92</v>
      </c>
      <c r="T293">
        <v>111266.63</v>
      </c>
    </row>
    <row r="294" spans="1:20">
      <c r="A294" t="s">
        <v>95</v>
      </c>
      <c r="B294" s="14">
        <v>45658</v>
      </c>
      <c r="C294" t="s">
        <v>27</v>
      </c>
      <c r="D294">
        <f t="shared" si="24"/>
        <v>0</v>
      </c>
      <c r="E294">
        <f t="shared" si="25"/>
        <v>0</v>
      </c>
      <c r="F294">
        <f t="shared" si="26"/>
        <v>1</v>
      </c>
      <c r="G294" t="s">
        <v>18</v>
      </c>
      <c r="H294">
        <f t="shared" si="27"/>
        <v>1</v>
      </c>
      <c r="I294">
        <f t="shared" si="28"/>
        <v>0</v>
      </c>
      <c r="J294">
        <f t="shared" si="29"/>
        <v>0</v>
      </c>
      <c r="K294">
        <v>51996.32</v>
      </c>
      <c r="L294">
        <v>3834</v>
      </c>
      <c r="M294">
        <v>9.6000000000000002E-2</v>
      </c>
      <c r="N294">
        <v>86.7</v>
      </c>
      <c r="O294">
        <v>8</v>
      </c>
      <c r="P294">
        <v>6.04</v>
      </c>
      <c r="Q294">
        <v>0</v>
      </c>
      <c r="R294">
        <v>4.5</v>
      </c>
      <c r="S294">
        <v>546223.69999999995</v>
      </c>
      <c r="T294">
        <v>100769.17</v>
      </c>
    </row>
    <row r="295" spans="1:20">
      <c r="A295" t="s">
        <v>95</v>
      </c>
      <c r="B295" s="14">
        <v>45689</v>
      </c>
      <c r="C295" t="s">
        <v>27</v>
      </c>
      <c r="D295">
        <f t="shared" si="24"/>
        <v>0</v>
      </c>
      <c r="E295">
        <f t="shared" si="25"/>
        <v>0</v>
      </c>
      <c r="F295">
        <f t="shared" si="26"/>
        <v>1</v>
      </c>
      <c r="G295" t="s">
        <v>18</v>
      </c>
      <c r="H295">
        <f t="shared" si="27"/>
        <v>1</v>
      </c>
      <c r="I295">
        <f t="shared" si="28"/>
        <v>0</v>
      </c>
      <c r="J295">
        <f t="shared" si="29"/>
        <v>0</v>
      </c>
      <c r="K295">
        <v>40102.879999999997</v>
      </c>
      <c r="L295">
        <v>2358</v>
      </c>
      <c r="M295">
        <v>0.11899999999999999</v>
      </c>
      <c r="N295">
        <v>88.7</v>
      </c>
      <c r="O295">
        <v>9</v>
      </c>
      <c r="P295">
        <v>1.6</v>
      </c>
      <c r="Q295">
        <v>0</v>
      </c>
      <c r="R295">
        <v>4.2</v>
      </c>
      <c r="S295">
        <v>533121.26</v>
      </c>
      <c r="T295">
        <v>55063.39</v>
      </c>
    </row>
    <row r="296" spans="1:20">
      <c r="A296" t="s">
        <v>95</v>
      </c>
      <c r="B296" s="14">
        <v>45717</v>
      </c>
      <c r="C296" t="s">
        <v>27</v>
      </c>
      <c r="D296">
        <f t="shared" si="24"/>
        <v>0</v>
      </c>
      <c r="E296">
        <f t="shared" si="25"/>
        <v>0</v>
      </c>
      <c r="F296">
        <f t="shared" si="26"/>
        <v>1</v>
      </c>
      <c r="G296" t="s">
        <v>18</v>
      </c>
      <c r="H296">
        <f t="shared" si="27"/>
        <v>1</v>
      </c>
      <c r="I296">
        <f t="shared" si="28"/>
        <v>0</v>
      </c>
      <c r="J296">
        <f t="shared" si="29"/>
        <v>0</v>
      </c>
      <c r="K296">
        <v>59825.51</v>
      </c>
      <c r="L296">
        <v>1231</v>
      </c>
      <c r="M296">
        <v>0.214</v>
      </c>
      <c r="N296">
        <v>84.8</v>
      </c>
      <c r="O296">
        <v>10</v>
      </c>
      <c r="P296">
        <v>8.9600000000000009</v>
      </c>
      <c r="Q296">
        <v>0</v>
      </c>
      <c r="R296">
        <v>4.7</v>
      </c>
      <c r="S296">
        <v>498970.32</v>
      </c>
      <c r="T296">
        <v>69656.7</v>
      </c>
    </row>
    <row r="297" spans="1:20">
      <c r="A297" t="s">
        <v>95</v>
      </c>
      <c r="B297" s="14">
        <v>45748</v>
      </c>
      <c r="C297" t="s">
        <v>27</v>
      </c>
      <c r="D297">
        <f t="shared" si="24"/>
        <v>0</v>
      </c>
      <c r="E297">
        <f t="shared" si="25"/>
        <v>0</v>
      </c>
      <c r="F297">
        <f t="shared" si="26"/>
        <v>1</v>
      </c>
      <c r="G297" t="s">
        <v>18</v>
      </c>
      <c r="H297">
        <f t="shared" si="27"/>
        <v>1</v>
      </c>
      <c r="I297">
        <f t="shared" si="28"/>
        <v>0</v>
      </c>
      <c r="J297">
        <f t="shared" si="29"/>
        <v>0</v>
      </c>
      <c r="K297">
        <v>27398.28</v>
      </c>
      <c r="L297">
        <v>1723</v>
      </c>
      <c r="M297">
        <v>0.17100000000000001</v>
      </c>
      <c r="N297">
        <v>81</v>
      </c>
      <c r="O297">
        <v>9</v>
      </c>
      <c r="P297">
        <v>0.74</v>
      </c>
      <c r="Q297">
        <v>0</v>
      </c>
      <c r="R297">
        <v>4.5999999999999996</v>
      </c>
      <c r="S297">
        <v>487738.26</v>
      </c>
      <c r="T297">
        <v>96435.6</v>
      </c>
    </row>
    <row r="298" spans="1:20">
      <c r="A298" t="s">
        <v>96</v>
      </c>
      <c r="B298" s="14">
        <v>45658</v>
      </c>
      <c r="C298" t="s">
        <v>27</v>
      </c>
      <c r="D298">
        <f t="shared" si="24"/>
        <v>0</v>
      </c>
      <c r="E298">
        <f t="shared" si="25"/>
        <v>0</v>
      </c>
      <c r="F298">
        <f t="shared" si="26"/>
        <v>1</v>
      </c>
      <c r="G298" t="s">
        <v>18</v>
      </c>
      <c r="H298">
        <f t="shared" si="27"/>
        <v>1</v>
      </c>
      <c r="I298">
        <f t="shared" si="28"/>
        <v>0</v>
      </c>
      <c r="J298">
        <f t="shared" si="29"/>
        <v>0</v>
      </c>
      <c r="K298">
        <v>55599.56</v>
      </c>
      <c r="L298">
        <v>5896</v>
      </c>
      <c r="M298">
        <v>3.5999999999999997E-2</v>
      </c>
      <c r="N298">
        <v>93.1</v>
      </c>
      <c r="O298">
        <v>12</v>
      </c>
      <c r="P298">
        <v>6.13</v>
      </c>
      <c r="Q298">
        <v>0</v>
      </c>
      <c r="R298">
        <v>3.3</v>
      </c>
      <c r="S298">
        <v>668459.37</v>
      </c>
      <c r="T298">
        <v>126435.42</v>
      </c>
    </row>
    <row r="299" spans="1:20">
      <c r="A299" t="s">
        <v>96</v>
      </c>
      <c r="B299" s="14">
        <v>45689</v>
      </c>
      <c r="C299" t="s">
        <v>27</v>
      </c>
      <c r="D299">
        <f t="shared" si="24"/>
        <v>0</v>
      </c>
      <c r="E299">
        <f t="shared" si="25"/>
        <v>0</v>
      </c>
      <c r="F299">
        <f t="shared" si="26"/>
        <v>1</v>
      </c>
      <c r="G299" t="s">
        <v>18</v>
      </c>
      <c r="H299">
        <f t="shared" si="27"/>
        <v>1</v>
      </c>
      <c r="I299">
        <f t="shared" si="28"/>
        <v>0</v>
      </c>
      <c r="J299">
        <f t="shared" si="29"/>
        <v>0</v>
      </c>
      <c r="K299">
        <v>55477.61</v>
      </c>
      <c r="L299">
        <v>5903</v>
      </c>
      <c r="M299">
        <v>0.10199999999999999</v>
      </c>
      <c r="N299">
        <v>96.2</v>
      </c>
      <c r="O299">
        <v>14</v>
      </c>
      <c r="P299">
        <v>1.41</v>
      </c>
      <c r="Q299">
        <v>0</v>
      </c>
      <c r="R299">
        <v>3.3</v>
      </c>
      <c r="S299">
        <v>763162.45</v>
      </c>
      <c r="T299">
        <v>162524.04999999999</v>
      </c>
    </row>
    <row r="300" spans="1:20">
      <c r="A300" t="s">
        <v>96</v>
      </c>
      <c r="B300" s="14">
        <v>45717</v>
      </c>
      <c r="C300" t="s">
        <v>27</v>
      </c>
      <c r="D300">
        <f t="shared" si="24"/>
        <v>0</v>
      </c>
      <c r="E300">
        <f t="shared" si="25"/>
        <v>0</v>
      </c>
      <c r="F300">
        <f t="shared" si="26"/>
        <v>1</v>
      </c>
      <c r="G300" t="s">
        <v>18</v>
      </c>
      <c r="H300">
        <f t="shared" si="27"/>
        <v>1</v>
      </c>
      <c r="I300">
        <f t="shared" si="28"/>
        <v>0</v>
      </c>
      <c r="J300">
        <f t="shared" si="29"/>
        <v>0</v>
      </c>
      <c r="K300">
        <v>46174.7</v>
      </c>
      <c r="L300">
        <v>4898</v>
      </c>
      <c r="M300">
        <v>0.114</v>
      </c>
      <c r="N300">
        <v>91.7</v>
      </c>
      <c r="O300">
        <v>11</v>
      </c>
      <c r="P300">
        <v>3.75</v>
      </c>
      <c r="Q300">
        <v>0</v>
      </c>
      <c r="R300">
        <v>3.1</v>
      </c>
      <c r="S300">
        <v>599017.32999999996</v>
      </c>
      <c r="T300">
        <v>134009.92000000001</v>
      </c>
    </row>
    <row r="301" spans="1:20">
      <c r="A301" t="s">
        <v>96</v>
      </c>
      <c r="B301" s="14">
        <v>45748</v>
      </c>
      <c r="C301" t="s">
        <v>27</v>
      </c>
      <c r="D301">
        <f t="shared" si="24"/>
        <v>0</v>
      </c>
      <c r="E301">
        <f t="shared" si="25"/>
        <v>0</v>
      </c>
      <c r="F301">
        <f t="shared" si="26"/>
        <v>1</v>
      </c>
      <c r="G301" t="s">
        <v>18</v>
      </c>
      <c r="H301">
        <f t="shared" si="27"/>
        <v>1</v>
      </c>
      <c r="I301">
        <f t="shared" si="28"/>
        <v>0</v>
      </c>
      <c r="J301">
        <f t="shared" si="29"/>
        <v>0</v>
      </c>
      <c r="K301">
        <v>24362.98</v>
      </c>
      <c r="L301">
        <v>1462</v>
      </c>
      <c r="M301">
        <v>0.11700000000000001</v>
      </c>
      <c r="N301">
        <v>89.3</v>
      </c>
      <c r="O301">
        <v>6</v>
      </c>
      <c r="P301">
        <v>15.06</v>
      </c>
      <c r="Q301">
        <v>0</v>
      </c>
      <c r="R301">
        <v>3.2</v>
      </c>
      <c r="S301">
        <v>401582.58</v>
      </c>
      <c r="T301">
        <v>68454.929999999993</v>
      </c>
    </row>
    <row r="302" spans="1:20">
      <c r="A302" t="s">
        <v>97</v>
      </c>
      <c r="B302" s="14">
        <v>45658</v>
      </c>
      <c r="C302" t="s">
        <v>20</v>
      </c>
      <c r="D302">
        <f t="shared" si="24"/>
        <v>1</v>
      </c>
      <c r="E302">
        <f t="shared" si="25"/>
        <v>0</v>
      </c>
      <c r="F302">
        <f t="shared" si="26"/>
        <v>0</v>
      </c>
      <c r="G302" t="s">
        <v>28</v>
      </c>
      <c r="H302">
        <f t="shared" si="27"/>
        <v>0</v>
      </c>
      <c r="I302">
        <f t="shared" si="28"/>
        <v>0</v>
      </c>
      <c r="J302">
        <f t="shared" si="29"/>
        <v>0</v>
      </c>
      <c r="K302">
        <v>40647.67</v>
      </c>
      <c r="L302">
        <v>8252</v>
      </c>
      <c r="M302">
        <v>0.14099999999999999</v>
      </c>
      <c r="N302">
        <v>88.2</v>
      </c>
      <c r="O302">
        <v>22</v>
      </c>
      <c r="P302">
        <v>5.07</v>
      </c>
      <c r="Q302">
        <v>1</v>
      </c>
      <c r="R302">
        <v>4.0999999999999996</v>
      </c>
      <c r="S302">
        <v>703812.99</v>
      </c>
      <c r="T302">
        <v>133577.98000000001</v>
      </c>
    </row>
    <row r="303" spans="1:20">
      <c r="A303" t="s">
        <v>97</v>
      </c>
      <c r="B303" s="14">
        <v>45689</v>
      </c>
      <c r="C303" t="s">
        <v>20</v>
      </c>
      <c r="D303">
        <f t="shared" si="24"/>
        <v>1</v>
      </c>
      <c r="E303">
        <f t="shared" si="25"/>
        <v>0</v>
      </c>
      <c r="F303">
        <f t="shared" si="26"/>
        <v>0</v>
      </c>
      <c r="G303" t="s">
        <v>28</v>
      </c>
      <c r="H303">
        <f t="shared" si="27"/>
        <v>0</v>
      </c>
      <c r="I303">
        <f t="shared" si="28"/>
        <v>0</v>
      </c>
      <c r="J303">
        <f t="shared" si="29"/>
        <v>0</v>
      </c>
      <c r="K303">
        <v>63986.98</v>
      </c>
      <c r="L303">
        <v>7989</v>
      </c>
      <c r="M303">
        <v>7.3999999999999996E-2</v>
      </c>
      <c r="N303">
        <v>83.3</v>
      </c>
      <c r="O303">
        <v>20</v>
      </c>
      <c r="P303">
        <v>3.6</v>
      </c>
      <c r="Q303">
        <v>0</v>
      </c>
      <c r="R303">
        <v>3.7</v>
      </c>
      <c r="S303">
        <v>724346.73</v>
      </c>
      <c r="T303">
        <v>155013.91</v>
      </c>
    </row>
    <row r="304" spans="1:20">
      <c r="A304" t="s">
        <v>97</v>
      </c>
      <c r="B304" s="14">
        <v>45717</v>
      </c>
      <c r="C304" t="s">
        <v>20</v>
      </c>
      <c r="D304">
        <f t="shared" si="24"/>
        <v>1</v>
      </c>
      <c r="E304">
        <f t="shared" si="25"/>
        <v>0</v>
      </c>
      <c r="F304">
        <f t="shared" si="26"/>
        <v>0</v>
      </c>
      <c r="G304" t="s">
        <v>28</v>
      </c>
      <c r="H304">
        <f t="shared" si="27"/>
        <v>0</v>
      </c>
      <c r="I304">
        <f t="shared" si="28"/>
        <v>0</v>
      </c>
      <c r="J304">
        <f t="shared" si="29"/>
        <v>0</v>
      </c>
      <c r="K304">
        <v>52843.75</v>
      </c>
      <c r="L304">
        <v>8268</v>
      </c>
      <c r="M304">
        <v>0.13800000000000001</v>
      </c>
      <c r="N304">
        <v>87.3</v>
      </c>
      <c r="O304">
        <v>19</v>
      </c>
      <c r="P304">
        <v>4.3899999999999997</v>
      </c>
      <c r="Q304">
        <v>1</v>
      </c>
      <c r="R304">
        <v>4.7</v>
      </c>
      <c r="S304">
        <v>730890.01</v>
      </c>
      <c r="T304">
        <v>105502.56</v>
      </c>
    </row>
    <row r="305" spans="1:20">
      <c r="A305" t="s">
        <v>97</v>
      </c>
      <c r="B305" s="14">
        <v>45748</v>
      </c>
      <c r="C305" t="s">
        <v>20</v>
      </c>
      <c r="D305">
        <f t="shared" si="24"/>
        <v>1</v>
      </c>
      <c r="E305">
        <f t="shared" si="25"/>
        <v>0</v>
      </c>
      <c r="F305">
        <f t="shared" si="26"/>
        <v>0</v>
      </c>
      <c r="G305" t="s">
        <v>28</v>
      </c>
      <c r="H305">
        <f t="shared" si="27"/>
        <v>0</v>
      </c>
      <c r="I305">
        <f t="shared" si="28"/>
        <v>0</v>
      </c>
      <c r="J305">
        <f t="shared" si="29"/>
        <v>0</v>
      </c>
      <c r="K305">
        <v>31997.25</v>
      </c>
      <c r="L305">
        <v>8183</v>
      </c>
      <c r="M305">
        <v>0.19800000000000001</v>
      </c>
      <c r="N305">
        <v>93</v>
      </c>
      <c r="O305">
        <v>18</v>
      </c>
      <c r="P305">
        <v>2.79</v>
      </c>
      <c r="Q305">
        <v>0</v>
      </c>
      <c r="R305">
        <v>4.2</v>
      </c>
      <c r="S305">
        <v>780580.95</v>
      </c>
      <c r="T305">
        <v>138144.46</v>
      </c>
    </row>
    <row r="306" spans="1:20">
      <c r="A306" t="s">
        <v>98</v>
      </c>
      <c r="B306" s="14">
        <v>45658</v>
      </c>
      <c r="C306" t="s">
        <v>24</v>
      </c>
      <c r="D306">
        <f t="shared" si="24"/>
        <v>0</v>
      </c>
      <c r="E306">
        <f t="shared" si="25"/>
        <v>1</v>
      </c>
      <c r="F306">
        <f t="shared" si="26"/>
        <v>0</v>
      </c>
      <c r="G306" t="s">
        <v>16</v>
      </c>
      <c r="H306">
        <f t="shared" si="27"/>
        <v>0</v>
      </c>
      <c r="I306">
        <f t="shared" si="28"/>
        <v>1</v>
      </c>
      <c r="J306">
        <f t="shared" si="29"/>
        <v>0</v>
      </c>
      <c r="K306">
        <v>54948.02</v>
      </c>
      <c r="L306">
        <v>6534</v>
      </c>
      <c r="M306">
        <v>0.183</v>
      </c>
      <c r="N306">
        <v>94.5</v>
      </c>
      <c r="O306">
        <v>14</v>
      </c>
      <c r="P306">
        <v>1.56</v>
      </c>
      <c r="Q306">
        <v>0</v>
      </c>
      <c r="R306">
        <v>4</v>
      </c>
      <c r="S306">
        <v>727957.48</v>
      </c>
      <c r="T306">
        <v>74805.23</v>
      </c>
    </row>
    <row r="307" spans="1:20">
      <c r="A307" t="s">
        <v>98</v>
      </c>
      <c r="B307" s="14">
        <v>45689</v>
      </c>
      <c r="C307" t="s">
        <v>24</v>
      </c>
      <c r="D307">
        <f t="shared" si="24"/>
        <v>0</v>
      </c>
      <c r="E307">
        <f t="shared" si="25"/>
        <v>1</v>
      </c>
      <c r="F307">
        <f t="shared" si="26"/>
        <v>0</v>
      </c>
      <c r="G307" t="s">
        <v>16</v>
      </c>
      <c r="H307">
        <f t="shared" si="27"/>
        <v>0</v>
      </c>
      <c r="I307">
        <f t="shared" si="28"/>
        <v>1</v>
      </c>
      <c r="J307">
        <f t="shared" si="29"/>
        <v>0</v>
      </c>
      <c r="K307">
        <v>46146.239999999998</v>
      </c>
      <c r="L307">
        <v>5804</v>
      </c>
      <c r="M307">
        <v>4.7E-2</v>
      </c>
      <c r="N307">
        <v>86.9</v>
      </c>
      <c r="O307">
        <v>16</v>
      </c>
      <c r="P307">
        <v>15.82</v>
      </c>
      <c r="Q307">
        <v>0</v>
      </c>
      <c r="R307">
        <v>3.8</v>
      </c>
      <c r="S307">
        <v>538376</v>
      </c>
      <c r="T307">
        <v>87605.62</v>
      </c>
    </row>
    <row r="308" spans="1:20">
      <c r="A308" t="s">
        <v>98</v>
      </c>
      <c r="B308" s="14">
        <v>45717</v>
      </c>
      <c r="C308" t="s">
        <v>24</v>
      </c>
      <c r="D308">
        <f t="shared" si="24"/>
        <v>0</v>
      </c>
      <c r="E308">
        <f t="shared" si="25"/>
        <v>1</v>
      </c>
      <c r="F308">
        <f t="shared" si="26"/>
        <v>0</v>
      </c>
      <c r="G308" t="s">
        <v>16</v>
      </c>
      <c r="H308">
        <f t="shared" si="27"/>
        <v>0</v>
      </c>
      <c r="I308">
        <f t="shared" si="28"/>
        <v>1</v>
      </c>
      <c r="J308">
        <f t="shared" si="29"/>
        <v>0</v>
      </c>
      <c r="K308">
        <v>22387.26</v>
      </c>
      <c r="L308">
        <v>6301</v>
      </c>
      <c r="M308">
        <v>0.14599999999999999</v>
      </c>
      <c r="N308">
        <v>85.9</v>
      </c>
      <c r="O308">
        <v>14</v>
      </c>
      <c r="P308">
        <v>1.17</v>
      </c>
      <c r="Q308">
        <v>1</v>
      </c>
      <c r="R308">
        <v>3.7</v>
      </c>
      <c r="S308">
        <v>665342.49</v>
      </c>
      <c r="T308">
        <v>93441.81</v>
      </c>
    </row>
    <row r="309" spans="1:20">
      <c r="A309" t="s">
        <v>98</v>
      </c>
      <c r="B309" s="14">
        <v>45748</v>
      </c>
      <c r="C309" t="s">
        <v>24</v>
      </c>
      <c r="D309">
        <f t="shared" si="24"/>
        <v>0</v>
      </c>
      <c r="E309">
        <f t="shared" si="25"/>
        <v>1</v>
      </c>
      <c r="F309">
        <f t="shared" si="26"/>
        <v>0</v>
      </c>
      <c r="G309" t="s">
        <v>16</v>
      </c>
      <c r="H309">
        <f t="shared" si="27"/>
        <v>0</v>
      </c>
      <c r="I309">
        <f t="shared" si="28"/>
        <v>1</v>
      </c>
      <c r="J309">
        <f t="shared" si="29"/>
        <v>0</v>
      </c>
      <c r="K309">
        <v>60684.05</v>
      </c>
      <c r="L309">
        <v>6399</v>
      </c>
      <c r="M309">
        <v>7.4999999999999997E-2</v>
      </c>
      <c r="N309">
        <v>99</v>
      </c>
      <c r="O309">
        <v>16</v>
      </c>
      <c r="P309">
        <v>3.82</v>
      </c>
      <c r="Q309">
        <v>0</v>
      </c>
      <c r="R309">
        <v>3.5</v>
      </c>
      <c r="S309">
        <v>651164.18000000005</v>
      </c>
      <c r="T309">
        <v>109466.5</v>
      </c>
    </row>
    <row r="310" spans="1:20">
      <c r="A310" t="s">
        <v>99</v>
      </c>
      <c r="B310" s="14">
        <v>45658</v>
      </c>
      <c r="C310" t="s">
        <v>24</v>
      </c>
      <c r="D310">
        <f t="shared" si="24"/>
        <v>0</v>
      </c>
      <c r="E310">
        <f t="shared" si="25"/>
        <v>1</v>
      </c>
      <c r="F310">
        <f t="shared" si="26"/>
        <v>0</v>
      </c>
      <c r="G310" t="s">
        <v>18</v>
      </c>
      <c r="H310">
        <f t="shared" si="27"/>
        <v>1</v>
      </c>
      <c r="I310">
        <f t="shared" si="28"/>
        <v>0</v>
      </c>
      <c r="J310">
        <f t="shared" si="29"/>
        <v>0</v>
      </c>
      <c r="K310">
        <v>48465.599999999999</v>
      </c>
      <c r="L310">
        <v>5759</v>
      </c>
      <c r="M310">
        <v>0.154</v>
      </c>
      <c r="N310">
        <v>87.5</v>
      </c>
      <c r="O310">
        <v>13</v>
      </c>
      <c r="P310">
        <v>4.1399999999999997</v>
      </c>
      <c r="Q310">
        <v>0</v>
      </c>
      <c r="R310">
        <v>4</v>
      </c>
      <c r="S310">
        <v>628538.30000000005</v>
      </c>
      <c r="T310">
        <v>112509.15</v>
      </c>
    </row>
    <row r="311" spans="1:20">
      <c r="A311" t="s">
        <v>99</v>
      </c>
      <c r="B311" s="14">
        <v>45689</v>
      </c>
      <c r="C311" t="s">
        <v>24</v>
      </c>
      <c r="D311">
        <f t="shared" si="24"/>
        <v>0</v>
      </c>
      <c r="E311">
        <f t="shared" si="25"/>
        <v>1</v>
      </c>
      <c r="F311">
        <f t="shared" si="26"/>
        <v>0</v>
      </c>
      <c r="G311" t="s">
        <v>18</v>
      </c>
      <c r="H311">
        <f t="shared" si="27"/>
        <v>1</v>
      </c>
      <c r="I311">
        <f t="shared" si="28"/>
        <v>0</v>
      </c>
      <c r="J311">
        <f t="shared" si="29"/>
        <v>0</v>
      </c>
      <c r="K311">
        <v>23702.38</v>
      </c>
      <c r="L311">
        <v>5285</v>
      </c>
      <c r="M311">
        <v>0.16700000000000001</v>
      </c>
      <c r="N311">
        <v>79.7</v>
      </c>
      <c r="O311">
        <v>14</v>
      </c>
      <c r="P311">
        <v>1.1000000000000001</v>
      </c>
      <c r="Q311">
        <v>0</v>
      </c>
      <c r="R311">
        <v>4.3</v>
      </c>
      <c r="S311">
        <v>536524.84</v>
      </c>
      <c r="T311">
        <v>92752.94</v>
      </c>
    </row>
    <row r="312" spans="1:20">
      <c r="A312" t="s">
        <v>99</v>
      </c>
      <c r="B312" s="14">
        <v>45717</v>
      </c>
      <c r="C312" t="s">
        <v>24</v>
      </c>
      <c r="D312">
        <f t="shared" si="24"/>
        <v>0</v>
      </c>
      <c r="E312">
        <f t="shared" si="25"/>
        <v>1</v>
      </c>
      <c r="F312">
        <f t="shared" si="26"/>
        <v>0</v>
      </c>
      <c r="G312" t="s">
        <v>18</v>
      </c>
      <c r="H312">
        <f t="shared" si="27"/>
        <v>1</v>
      </c>
      <c r="I312">
        <f t="shared" si="28"/>
        <v>0</v>
      </c>
      <c r="J312">
        <f t="shared" si="29"/>
        <v>0</v>
      </c>
      <c r="K312">
        <v>54322.94</v>
      </c>
      <c r="L312">
        <v>5434</v>
      </c>
      <c r="M312">
        <v>0.2</v>
      </c>
      <c r="N312">
        <v>85.7</v>
      </c>
      <c r="O312">
        <v>13</v>
      </c>
      <c r="P312">
        <v>10.6</v>
      </c>
      <c r="Q312">
        <v>0</v>
      </c>
      <c r="R312">
        <v>4.2</v>
      </c>
      <c r="S312">
        <v>621677.30000000005</v>
      </c>
      <c r="T312">
        <v>105192.52</v>
      </c>
    </row>
    <row r="313" spans="1:20">
      <c r="A313" t="s">
        <v>99</v>
      </c>
      <c r="B313" s="14">
        <v>45748</v>
      </c>
      <c r="C313" t="s">
        <v>24</v>
      </c>
      <c r="D313">
        <f t="shared" si="24"/>
        <v>0</v>
      </c>
      <c r="E313">
        <f t="shared" si="25"/>
        <v>1</v>
      </c>
      <c r="F313">
        <f t="shared" si="26"/>
        <v>0</v>
      </c>
      <c r="G313" t="s">
        <v>18</v>
      </c>
      <c r="H313">
        <f t="shared" si="27"/>
        <v>1</v>
      </c>
      <c r="I313">
        <f t="shared" si="28"/>
        <v>0</v>
      </c>
      <c r="J313">
        <f t="shared" si="29"/>
        <v>0</v>
      </c>
      <c r="K313">
        <v>86026.58</v>
      </c>
      <c r="L313">
        <v>7479</v>
      </c>
      <c r="M313">
        <v>0.14199999999999999</v>
      </c>
      <c r="N313">
        <v>89</v>
      </c>
      <c r="O313">
        <v>20</v>
      </c>
      <c r="P313">
        <v>0.9</v>
      </c>
      <c r="Q313">
        <v>0</v>
      </c>
      <c r="R313">
        <v>3.92</v>
      </c>
      <c r="S313">
        <v>771129.07</v>
      </c>
      <c r="T313">
        <v>116851.13</v>
      </c>
    </row>
    <row r="314" spans="1:20">
      <c r="A314" t="s">
        <v>100</v>
      </c>
      <c r="B314" s="14">
        <v>45658</v>
      </c>
      <c r="C314" t="s">
        <v>20</v>
      </c>
      <c r="D314">
        <f t="shared" si="24"/>
        <v>1</v>
      </c>
      <c r="E314">
        <f t="shared" si="25"/>
        <v>0</v>
      </c>
      <c r="F314">
        <f t="shared" si="26"/>
        <v>0</v>
      </c>
      <c r="G314" t="s">
        <v>16</v>
      </c>
      <c r="H314">
        <f t="shared" si="27"/>
        <v>0</v>
      </c>
      <c r="I314">
        <f t="shared" si="28"/>
        <v>1</v>
      </c>
      <c r="J314">
        <f t="shared" si="29"/>
        <v>0</v>
      </c>
      <c r="K314">
        <v>78967.520000000004</v>
      </c>
      <c r="L314">
        <v>6164</v>
      </c>
      <c r="M314">
        <v>2.1000000000000001E-2</v>
      </c>
      <c r="N314">
        <v>85.5</v>
      </c>
      <c r="O314">
        <v>16</v>
      </c>
      <c r="P314">
        <v>0.2</v>
      </c>
      <c r="Q314">
        <v>0</v>
      </c>
      <c r="R314">
        <v>3.4</v>
      </c>
      <c r="S314">
        <v>702052.47</v>
      </c>
      <c r="T314">
        <v>121732.51</v>
      </c>
    </row>
    <row r="315" spans="1:20">
      <c r="A315" t="s">
        <v>100</v>
      </c>
      <c r="B315" s="14">
        <v>45689</v>
      </c>
      <c r="C315" t="s">
        <v>20</v>
      </c>
      <c r="D315">
        <f t="shared" si="24"/>
        <v>1</v>
      </c>
      <c r="E315">
        <f t="shared" si="25"/>
        <v>0</v>
      </c>
      <c r="F315">
        <f t="shared" si="26"/>
        <v>0</v>
      </c>
      <c r="G315" t="s">
        <v>16</v>
      </c>
      <c r="H315">
        <f t="shared" si="27"/>
        <v>0</v>
      </c>
      <c r="I315">
        <f t="shared" si="28"/>
        <v>1</v>
      </c>
      <c r="J315">
        <f t="shared" si="29"/>
        <v>0</v>
      </c>
      <c r="K315">
        <v>46767.99</v>
      </c>
      <c r="L315">
        <v>7973</v>
      </c>
      <c r="M315">
        <v>0.183</v>
      </c>
      <c r="N315">
        <v>94.8</v>
      </c>
      <c r="O315">
        <v>18</v>
      </c>
      <c r="P315">
        <v>4.67</v>
      </c>
      <c r="Q315">
        <v>0</v>
      </c>
      <c r="R315">
        <v>3.92</v>
      </c>
      <c r="S315">
        <v>688368.46</v>
      </c>
      <c r="T315">
        <v>93588.42</v>
      </c>
    </row>
    <row r="316" spans="1:20">
      <c r="A316" t="s">
        <v>100</v>
      </c>
      <c r="B316" s="14">
        <v>45717</v>
      </c>
      <c r="C316" t="s">
        <v>20</v>
      </c>
      <c r="D316">
        <f t="shared" si="24"/>
        <v>1</v>
      </c>
      <c r="E316">
        <f t="shared" si="25"/>
        <v>0</v>
      </c>
      <c r="F316">
        <f t="shared" si="26"/>
        <v>0</v>
      </c>
      <c r="G316" t="s">
        <v>16</v>
      </c>
      <c r="H316">
        <f t="shared" si="27"/>
        <v>0</v>
      </c>
      <c r="I316">
        <f t="shared" si="28"/>
        <v>1</v>
      </c>
      <c r="J316">
        <f t="shared" si="29"/>
        <v>0</v>
      </c>
      <c r="K316">
        <v>62507.16</v>
      </c>
      <c r="L316">
        <v>6000</v>
      </c>
      <c r="M316">
        <v>9.0999999999999998E-2</v>
      </c>
      <c r="N316">
        <v>98.2</v>
      </c>
      <c r="O316">
        <v>14</v>
      </c>
      <c r="P316">
        <v>4.38</v>
      </c>
      <c r="Q316">
        <v>1</v>
      </c>
      <c r="R316">
        <v>3.9</v>
      </c>
      <c r="S316">
        <v>712375.77</v>
      </c>
      <c r="T316">
        <v>104171.53</v>
      </c>
    </row>
    <row r="317" spans="1:20">
      <c r="A317" t="s">
        <v>100</v>
      </c>
      <c r="B317" s="14">
        <v>45748</v>
      </c>
      <c r="C317" t="s">
        <v>20</v>
      </c>
      <c r="D317">
        <f t="shared" si="24"/>
        <v>1</v>
      </c>
      <c r="E317">
        <f t="shared" si="25"/>
        <v>0</v>
      </c>
      <c r="F317">
        <f t="shared" si="26"/>
        <v>0</v>
      </c>
      <c r="G317" t="s">
        <v>16</v>
      </c>
      <c r="H317">
        <f t="shared" si="27"/>
        <v>0</v>
      </c>
      <c r="I317">
        <f t="shared" si="28"/>
        <v>1</v>
      </c>
      <c r="J317">
        <f t="shared" si="29"/>
        <v>0</v>
      </c>
      <c r="K317">
        <v>66456.28</v>
      </c>
      <c r="L317">
        <v>9967</v>
      </c>
      <c r="M317">
        <v>0.108</v>
      </c>
      <c r="N317">
        <v>94.7</v>
      </c>
      <c r="O317">
        <v>20</v>
      </c>
      <c r="P317">
        <v>4.4800000000000004</v>
      </c>
      <c r="Q317">
        <v>0</v>
      </c>
      <c r="R317">
        <v>4.2</v>
      </c>
      <c r="S317">
        <v>844710.67</v>
      </c>
      <c r="T317">
        <v>137140.18</v>
      </c>
    </row>
    <row r="318" spans="1:20">
      <c r="A318" t="s">
        <v>101</v>
      </c>
      <c r="B318" s="14">
        <v>45658</v>
      </c>
      <c r="C318" t="s">
        <v>15</v>
      </c>
      <c r="D318">
        <f t="shared" si="24"/>
        <v>0</v>
      </c>
      <c r="E318">
        <f t="shared" si="25"/>
        <v>0</v>
      </c>
      <c r="F318">
        <f t="shared" si="26"/>
        <v>0</v>
      </c>
      <c r="G318" t="s">
        <v>16</v>
      </c>
      <c r="H318">
        <f t="shared" si="27"/>
        <v>0</v>
      </c>
      <c r="I318">
        <f t="shared" si="28"/>
        <v>1</v>
      </c>
      <c r="J318">
        <f t="shared" si="29"/>
        <v>0</v>
      </c>
      <c r="K318">
        <v>76614.320000000007</v>
      </c>
      <c r="L318">
        <v>5639</v>
      </c>
      <c r="M318">
        <v>0.17399999999999999</v>
      </c>
      <c r="N318">
        <v>92.9</v>
      </c>
      <c r="O318">
        <v>15</v>
      </c>
      <c r="P318">
        <v>1.02</v>
      </c>
      <c r="Q318">
        <v>1</v>
      </c>
      <c r="R318">
        <v>4</v>
      </c>
      <c r="S318">
        <v>620264.19999999995</v>
      </c>
      <c r="T318">
        <v>91365.64</v>
      </c>
    </row>
    <row r="319" spans="1:20">
      <c r="A319" t="s">
        <v>101</v>
      </c>
      <c r="B319" s="14">
        <v>45689</v>
      </c>
      <c r="C319" t="s">
        <v>15</v>
      </c>
      <c r="D319">
        <f t="shared" si="24"/>
        <v>0</v>
      </c>
      <c r="E319">
        <f t="shared" si="25"/>
        <v>0</v>
      </c>
      <c r="F319">
        <f t="shared" si="26"/>
        <v>0</v>
      </c>
      <c r="G319" t="s">
        <v>16</v>
      </c>
      <c r="H319">
        <f t="shared" si="27"/>
        <v>0</v>
      </c>
      <c r="I319">
        <f t="shared" si="28"/>
        <v>1</v>
      </c>
      <c r="J319">
        <f t="shared" si="29"/>
        <v>0</v>
      </c>
      <c r="K319">
        <v>24088.06</v>
      </c>
      <c r="L319">
        <v>3466</v>
      </c>
      <c r="M319">
        <v>0</v>
      </c>
      <c r="N319">
        <v>88</v>
      </c>
      <c r="O319">
        <v>11</v>
      </c>
      <c r="P319">
        <v>0.2</v>
      </c>
      <c r="Q319">
        <v>0</v>
      </c>
      <c r="R319">
        <v>3.8</v>
      </c>
      <c r="S319">
        <v>536845.42000000004</v>
      </c>
      <c r="T319">
        <v>107473.75</v>
      </c>
    </row>
    <row r="320" spans="1:20">
      <c r="A320" t="s">
        <v>101</v>
      </c>
      <c r="B320" s="14">
        <v>45717</v>
      </c>
      <c r="C320" t="s">
        <v>15</v>
      </c>
      <c r="D320">
        <f t="shared" si="24"/>
        <v>0</v>
      </c>
      <c r="E320">
        <f t="shared" si="25"/>
        <v>0</v>
      </c>
      <c r="F320">
        <f t="shared" si="26"/>
        <v>0</v>
      </c>
      <c r="G320" t="s">
        <v>16</v>
      </c>
      <c r="H320">
        <f t="shared" si="27"/>
        <v>0</v>
      </c>
      <c r="I320">
        <f t="shared" si="28"/>
        <v>1</v>
      </c>
      <c r="J320">
        <f t="shared" si="29"/>
        <v>0</v>
      </c>
      <c r="K320">
        <v>81902.58</v>
      </c>
      <c r="L320">
        <v>7775</v>
      </c>
      <c r="M320">
        <v>0.215</v>
      </c>
      <c r="N320">
        <v>85.2</v>
      </c>
      <c r="O320">
        <v>20</v>
      </c>
      <c r="P320">
        <v>4.8899999999999997</v>
      </c>
      <c r="Q320">
        <v>1</v>
      </c>
      <c r="R320">
        <v>4.2</v>
      </c>
      <c r="S320">
        <v>726776.22</v>
      </c>
      <c r="T320">
        <v>90804.49</v>
      </c>
    </row>
    <row r="321" spans="1:20">
      <c r="A321" t="s">
        <v>101</v>
      </c>
      <c r="B321" s="14">
        <v>45748</v>
      </c>
      <c r="C321" t="s">
        <v>15</v>
      </c>
      <c r="D321">
        <f t="shared" si="24"/>
        <v>0</v>
      </c>
      <c r="E321">
        <f t="shared" si="25"/>
        <v>0</v>
      </c>
      <c r="F321">
        <f t="shared" si="26"/>
        <v>0</v>
      </c>
      <c r="G321" t="s">
        <v>16</v>
      </c>
      <c r="H321">
        <f t="shared" si="27"/>
        <v>0</v>
      </c>
      <c r="I321">
        <f t="shared" si="28"/>
        <v>1</v>
      </c>
      <c r="J321">
        <f t="shared" si="29"/>
        <v>0</v>
      </c>
      <c r="K321">
        <v>40553.11</v>
      </c>
      <c r="L321">
        <v>5317</v>
      </c>
      <c r="M321">
        <v>0.16500000000000001</v>
      </c>
      <c r="N321">
        <v>84.3</v>
      </c>
      <c r="O321">
        <v>17</v>
      </c>
      <c r="P321">
        <v>11.82</v>
      </c>
      <c r="Q321">
        <v>0</v>
      </c>
      <c r="R321">
        <v>4.0999999999999996</v>
      </c>
      <c r="S321">
        <v>559660.84</v>
      </c>
      <c r="T321">
        <v>71443.61</v>
      </c>
    </row>
  </sheetData>
  <autoFilter ref="A1:T321" xr:uid="{4317B9A0-7A31-4822-ABFA-9A21B9B2888F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BBE30-6A9C-4B7D-A75E-034EF4125F38}">
  <dimension ref="A1:AU346"/>
  <sheetViews>
    <sheetView topLeftCell="M1" zoomScale="73" zoomScaleNormal="41" workbookViewId="0"/>
  </sheetViews>
  <sheetFormatPr defaultRowHeight="14"/>
  <cols>
    <col min="1" max="1" width="18.9140625" bestFit="1" customWidth="1"/>
    <col min="2" max="2" width="12.08203125" bestFit="1" customWidth="1"/>
    <col min="3" max="6" width="14.1640625" bestFit="1" customWidth="1"/>
    <col min="7" max="9" width="9" bestFit="1" customWidth="1"/>
    <col min="12" max="12" width="18.83203125" bestFit="1" customWidth="1"/>
    <col min="13" max="13" width="21.75" bestFit="1" customWidth="1"/>
    <col min="14" max="16" width="14.1640625" bestFit="1" customWidth="1"/>
    <col min="17" max="17" width="13.9140625" customWidth="1"/>
    <col min="18" max="18" width="10.9140625" customWidth="1"/>
    <col min="19" max="19" width="11.75" customWidth="1"/>
    <col min="20" max="20" width="11.08203125" customWidth="1"/>
    <col min="23" max="23" width="18.83203125" bestFit="1" customWidth="1"/>
    <col min="24" max="24" width="21.75" bestFit="1" customWidth="1"/>
    <col min="25" max="27" width="14.1640625" bestFit="1" customWidth="1"/>
    <col min="28" max="28" width="11.5" bestFit="1" customWidth="1"/>
    <col min="29" max="29" width="8.83203125" bestFit="1" customWidth="1"/>
    <col min="30" max="30" width="11.5" bestFit="1" customWidth="1"/>
    <col min="31" max="31" width="8.83203125" bestFit="1" customWidth="1"/>
    <col min="34" max="34" width="21" bestFit="1" customWidth="1"/>
    <col min="35" max="35" width="21.6640625" bestFit="1" customWidth="1"/>
    <col min="36" max="36" width="14.1640625" bestFit="1" customWidth="1"/>
    <col min="37" max="38" width="13" bestFit="1" customWidth="1"/>
    <col min="39" max="39" width="9.75" bestFit="1" customWidth="1"/>
    <col min="40" max="42" width="8.75" bestFit="1" customWidth="1"/>
    <col min="45" max="45" width="16.5" customWidth="1"/>
    <col min="46" max="46" width="11.1640625" customWidth="1"/>
  </cols>
  <sheetData>
    <row r="1" spans="1:45" ht="18">
      <c r="A1" s="8" t="s">
        <v>143</v>
      </c>
      <c r="L1" s="8" t="s">
        <v>145</v>
      </c>
      <c r="W1" s="8" t="s">
        <v>146</v>
      </c>
      <c r="AH1" s="8" t="s">
        <v>147</v>
      </c>
      <c r="AS1" s="8"/>
    </row>
    <row r="3" spans="1:45">
      <c r="A3" t="s">
        <v>115</v>
      </c>
      <c r="L3" t="s">
        <v>115</v>
      </c>
      <c r="W3" t="s">
        <v>115</v>
      </c>
      <c r="AH3" t="s">
        <v>115</v>
      </c>
    </row>
    <row r="4" spans="1:45" ht="14.5" thickBot="1"/>
    <row r="5" spans="1:45" ht="14.5">
      <c r="A5" s="7" t="s">
        <v>116</v>
      </c>
      <c r="B5" s="7"/>
      <c r="L5" s="7" t="s">
        <v>116</v>
      </c>
      <c r="M5" s="7"/>
      <c r="W5" s="7" t="s">
        <v>116</v>
      </c>
      <c r="X5" s="7"/>
      <c r="AH5" s="7" t="s">
        <v>116</v>
      </c>
      <c r="AI5" s="7"/>
    </row>
    <row r="6" spans="1:45">
      <c r="A6" s="4" t="s">
        <v>117</v>
      </c>
      <c r="B6" s="4">
        <v>0.40895561021322352</v>
      </c>
      <c r="L6" s="4" t="s">
        <v>117</v>
      </c>
      <c r="M6" s="4">
        <v>0.85807070804410468</v>
      </c>
      <c r="W6" s="4" t="s">
        <v>117</v>
      </c>
      <c r="X6" s="4">
        <v>9.1052199448449889E-2</v>
      </c>
      <c r="AH6" s="4" t="s">
        <v>117</v>
      </c>
      <c r="AI6" s="4">
        <v>0.11452081018053405</v>
      </c>
    </row>
    <row r="7" spans="1:45">
      <c r="A7" s="4" t="s">
        <v>118</v>
      </c>
      <c r="B7" s="4">
        <v>0.16724469112487</v>
      </c>
      <c r="L7" s="4" t="s">
        <v>118</v>
      </c>
      <c r="M7" s="4">
        <v>0.73628534000331114</v>
      </c>
      <c r="W7" s="4" t="s">
        <v>118</v>
      </c>
      <c r="X7" s="4">
        <v>8.2905030244002989E-3</v>
      </c>
      <c r="AH7" s="4" t="s">
        <v>118</v>
      </c>
      <c r="AI7" s="4">
        <v>1.3115015964405912E-2</v>
      </c>
    </row>
    <row r="8" spans="1:45">
      <c r="A8" s="4" t="s">
        <v>119</v>
      </c>
      <c r="B8" s="4">
        <v>0.16462596373847024</v>
      </c>
      <c r="L8" s="4" t="s">
        <v>119</v>
      </c>
      <c r="M8" s="4">
        <v>0.73545604861967373</v>
      </c>
      <c r="W8" s="4" t="s">
        <v>119</v>
      </c>
      <c r="X8" s="4">
        <v>5.171919700577658E-3</v>
      </c>
      <c r="AH8" s="4" t="s">
        <v>119</v>
      </c>
      <c r="AI8" s="4">
        <v>1.0011604064922909E-2</v>
      </c>
    </row>
    <row r="9" spans="1:45">
      <c r="A9" s="4" t="s">
        <v>120</v>
      </c>
      <c r="B9" s="4">
        <v>94846.03383215853</v>
      </c>
      <c r="L9" s="4" t="s">
        <v>120</v>
      </c>
      <c r="M9" s="4">
        <v>53373.736380790499</v>
      </c>
      <c r="W9" s="4" t="s">
        <v>120</v>
      </c>
      <c r="X9" s="4">
        <v>103502.94470614102</v>
      </c>
      <c r="AH9" s="4" t="s">
        <v>120</v>
      </c>
      <c r="AI9" s="4">
        <v>103250.87487318904</v>
      </c>
    </row>
    <row r="10" spans="1:45" ht="14.5" thickBot="1">
      <c r="A10" s="5" t="s">
        <v>121</v>
      </c>
      <c r="B10" s="5">
        <v>320</v>
      </c>
      <c r="L10" s="5" t="s">
        <v>121</v>
      </c>
      <c r="M10" s="5">
        <v>320</v>
      </c>
      <c r="W10" s="5" t="s">
        <v>121</v>
      </c>
      <c r="X10" s="5">
        <v>320</v>
      </c>
      <c r="AH10" s="5" t="s">
        <v>121</v>
      </c>
      <c r="AI10" s="5">
        <v>320</v>
      </c>
    </row>
    <row r="12" spans="1:45" ht="14.5" thickBot="1">
      <c r="A12" t="s">
        <v>122</v>
      </c>
      <c r="L12" t="s">
        <v>122</v>
      </c>
      <c r="W12" t="s">
        <v>122</v>
      </c>
      <c r="AH12" t="s">
        <v>122</v>
      </c>
    </row>
    <row r="13" spans="1:45" ht="14.5">
      <c r="A13" s="6"/>
      <c r="B13" s="6" t="s">
        <v>127</v>
      </c>
      <c r="C13" s="6" t="s">
        <v>128</v>
      </c>
      <c r="D13" s="6" t="s">
        <v>129</v>
      </c>
      <c r="E13" s="6" t="s">
        <v>130</v>
      </c>
      <c r="F13" s="6" t="s">
        <v>131</v>
      </c>
      <c r="L13" s="6"/>
      <c r="M13" s="6" t="s">
        <v>127</v>
      </c>
      <c r="N13" s="6" t="s">
        <v>128</v>
      </c>
      <c r="O13" s="6" t="s">
        <v>129</v>
      </c>
      <c r="P13" s="6" t="s">
        <v>130</v>
      </c>
      <c r="Q13" s="6" t="s">
        <v>131</v>
      </c>
      <c r="W13" s="6"/>
      <c r="X13" s="6" t="s">
        <v>127</v>
      </c>
      <c r="Y13" s="6" t="s">
        <v>128</v>
      </c>
      <c r="Z13" s="6" t="s">
        <v>129</v>
      </c>
      <c r="AA13" s="6" t="s">
        <v>130</v>
      </c>
      <c r="AB13" s="6" t="s">
        <v>131</v>
      </c>
      <c r="AH13" s="6"/>
      <c r="AI13" s="6" t="s">
        <v>127</v>
      </c>
      <c r="AJ13" s="6" t="s">
        <v>128</v>
      </c>
      <c r="AK13" s="6" t="s">
        <v>129</v>
      </c>
      <c r="AL13" s="6" t="s">
        <v>130</v>
      </c>
      <c r="AM13" s="6" t="s">
        <v>131</v>
      </c>
    </row>
    <row r="14" spans="1:45">
      <c r="A14" s="4" t="s">
        <v>123</v>
      </c>
      <c r="B14" s="4">
        <v>1</v>
      </c>
      <c r="C14" s="4">
        <v>574513714277.01416</v>
      </c>
      <c r="D14" s="4">
        <v>574513714277.01416</v>
      </c>
      <c r="E14" s="4">
        <v>63.864872683367629</v>
      </c>
      <c r="F14" s="4">
        <v>2.4800615101359619E-14</v>
      </c>
      <c r="L14" s="4" t="s">
        <v>123</v>
      </c>
      <c r="M14" s="4">
        <v>1</v>
      </c>
      <c r="N14" s="4">
        <v>2529264292982.4736</v>
      </c>
      <c r="O14" s="4">
        <v>2529264292982.4736</v>
      </c>
      <c r="P14" s="4">
        <v>887.84877611276033</v>
      </c>
      <c r="Q14" s="4">
        <v>4.7503615090053331E-94</v>
      </c>
      <c r="W14" s="4" t="s">
        <v>123</v>
      </c>
      <c r="X14" s="4">
        <v>1</v>
      </c>
      <c r="Y14" s="4">
        <v>28479275806.828613</v>
      </c>
      <c r="Z14" s="4">
        <v>28479275806.828613</v>
      </c>
      <c r="AA14" s="4">
        <v>2.658419597472264</v>
      </c>
      <c r="AB14" s="4">
        <v>0.10399304641903476</v>
      </c>
      <c r="AH14" s="4" t="s">
        <v>123</v>
      </c>
      <c r="AI14" s="4">
        <v>1</v>
      </c>
      <c r="AJ14" s="4">
        <v>45052291249.636719</v>
      </c>
      <c r="AK14" s="4">
        <v>45052291249.636719</v>
      </c>
      <c r="AL14" s="4">
        <v>4.2259991226400695</v>
      </c>
      <c r="AM14" s="4">
        <v>4.0625296630152581E-2</v>
      </c>
    </row>
    <row r="15" spans="1:45">
      <c r="A15" s="4" t="s">
        <v>124</v>
      </c>
      <c r="B15" s="4">
        <v>318</v>
      </c>
      <c r="C15" s="4">
        <v>2860654902513.7251</v>
      </c>
      <c r="D15" s="4">
        <v>8995770133.6909599</v>
      </c>
      <c r="E15" s="4"/>
      <c r="F15" s="4"/>
      <c r="L15" s="4" t="s">
        <v>124</v>
      </c>
      <c r="M15" s="4">
        <v>318</v>
      </c>
      <c r="N15" s="4">
        <v>905904323808.26587</v>
      </c>
      <c r="O15" s="4">
        <v>2848755735.246119</v>
      </c>
      <c r="P15" s="4"/>
      <c r="Q15" s="4"/>
      <c r="W15" s="4" t="s">
        <v>124</v>
      </c>
      <c r="X15" s="4">
        <v>318</v>
      </c>
      <c r="Y15" s="4">
        <v>3406689340983.9106</v>
      </c>
      <c r="Z15" s="4">
        <v>10712859562.842485</v>
      </c>
      <c r="AA15" s="4"/>
      <c r="AB15" s="4"/>
      <c r="AH15" s="4" t="s">
        <v>124</v>
      </c>
      <c r="AI15" s="4">
        <v>318</v>
      </c>
      <c r="AJ15" s="4">
        <v>3390116325541.1025</v>
      </c>
      <c r="AK15" s="4">
        <v>10660743162.078939</v>
      </c>
      <c r="AL15" s="4"/>
      <c r="AM15" s="4"/>
    </row>
    <row r="16" spans="1:45" ht="14.5" thickBot="1">
      <c r="A16" s="5" t="s">
        <v>125</v>
      </c>
      <c r="B16" s="5">
        <v>319</v>
      </c>
      <c r="C16" s="5">
        <v>3435168616790.7393</v>
      </c>
      <c r="D16" s="5"/>
      <c r="E16" s="5"/>
      <c r="F16" s="5"/>
      <c r="L16" s="5" t="s">
        <v>125</v>
      </c>
      <c r="M16" s="5">
        <v>319</v>
      </c>
      <c r="N16" s="5">
        <v>3435168616790.7393</v>
      </c>
      <c r="O16" s="5"/>
      <c r="P16" s="5"/>
      <c r="Q16" s="5"/>
      <c r="W16" s="5" t="s">
        <v>125</v>
      </c>
      <c r="X16" s="5">
        <v>319</v>
      </c>
      <c r="Y16" s="5">
        <v>3435168616790.7393</v>
      </c>
      <c r="Z16" s="5"/>
      <c r="AA16" s="5"/>
      <c r="AB16" s="5"/>
      <c r="AH16" s="5" t="s">
        <v>125</v>
      </c>
      <c r="AI16" s="5">
        <v>319</v>
      </c>
      <c r="AJ16" s="5">
        <v>3435168616790.7393</v>
      </c>
      <c r="AK16" s="5"/>
      <c r="AL16" s="5"/>
      <c r="AM16" s="5"/>
    </row>
    <row r="17" spans="1:47" ht="14.5" thickBot="1"/>
    <row r="18" spans="1:47" ht="14.5">
      <c r="A18" s="6"/>
      <c r="B18" s="6" t="s">
        <v>132</v>
      </c>
      <c r="C18" s="6" t="s">
        <v>120</v>
      </c>
      <c r="D18" s="6" t="s">
        <v>133</v>
      </c>
      <c r="E18" s="6" t="s">
        <v>134</v>
      </c>
      <c r="F18" s="6" t="s">
        <v>135</v>
      </c>
      <c r="G18" s="6" t="s">
        <v>136</v>
      </c>
      <c r="H18" s="6" t="s">
        <v>137</v>
      </c>
      <c r="I18" s="6" t="s">
        <v>138</v>
      </c>
      <c r="L18" s="6"/>
      <c r="M18" s="6" t="s">
        <v>132</v>
      </c>
      <c r="N18" s="6" t="s">
        <v>120</v>
      </c>
      <c r="O18" s="6" t="s">
        <v>133</v>
      </c>
      <c r="P18" s="6" t="s">
        <v>134</v>
      </c>
      <c r="Q18" s="6" t="s">
        <v>135</v>
      </c>
      <c r="R18" s="6" t="s">
        <v>136</v>
      </c>
      <c r="S18" s="6" t="s">
        <v>137</v>
      </c>
      <c r="T18" s="6" t="s">
        <v>138</v>
      </c>
      <c r="W18" s="6"/>
      <c r="X18" s="6" t="s">
        <v>132</v>
      </c>
      <c r="Y18" s="6" t="s">
        <v>120</v>
      </c>
      <c r="Z18" s="6" t="s">
        <v>133</v>
      </c>
      <c r="AA18" s="6" t="s">
        <v>134</v>
      </c>
      <c r="AB18" s="6" t="s">
        <v>135</v>
      </c>
      <c r="AC18" s="6" t="s">
        <v>136</v>
      </c>
      <c r="AD18" s="6" t="s">
        <v>137</v>
      </c>
      <c r="AE18" s="6" t="s">
        <v>138</v>
      </c>
      <c r="AH18" s="6"/>
      <c r="AI18" s="6" t="s">
        <v>132</v>
      </c>
      <c r="AJ18" s="6" t="s">
        <v>120</v>
      </c>
      <c r="AK18" s="6" t="s">
        <v>133</v>
      </c>
      <c r="AL18" s="6" t="s">
        <v>134</v>
      </c>
      <c r="AM18" s="6" t="s">
        <v>135</v>
      </c>
      <c r="AN18" s="6" t="s">
        <v>136</v>
      </c>
      <c r="AO18" s="6" t="s">
        <v>137</v>
      </c>
      <c r="AP18" s="6" t="s">
        <v>138</v>
      </c>
    </row>
    <row r="19" spans="1:47">
      <c r="A19" s="4" t="s">
        <v>126</v>
      </c>
      <c r="B19" s="4">
        <v>560777.34544943704</v>
      </c>
      <c r="C19" s="4">
        <v>15906.905953068674</v>
      </c>
      <c r="D19" s="4">
        <v>35.253703460870398</v>
      </c>
      <c r="E19" s="4">
        <v>6.952876876284135E-112</v>
      </c>
      <c r="F19" s="4">
        <v>529481.27234763221</v>
      </c>
      <c r="G19" s="4">
        <v>592073.41855124186</v>
      </c>
      <c r="H19" s="4">
        <v>529481.27234763221</v>
      </c>
      <c r="I19" s="4">
        <v>592073.41855124186</v>
      </c>
      <c r="L19" s="4" t="s">
        <v>126</v>
      </c>
      <c r="M19" s="4">
        <v>446410.58293395344</v>
      </c>
      <c r="N19" s="4">
        <v>8407.7382630059928</v>
      </c>
      <c r="O19" s="4">
        <v>53.095204556754318</v>
      </c>
      <c r="P19" s="4">
        <v>4.0862695711507226E-160</v>
      </c>
      <c r="Q19" s="4">
        <v>429868.76191129786</v>
      </c>
      <c r="R19" s="4">
        <v>462952.40395660902</v>
      </c>
      <c r="S19" s="4">
        <v>429868.76191129786</v>
      </c>
      <c r="T19" s="4">
        <v>462952.40395660902</v>
      </c>
      <c r="W19" s="4" t="s">
        <v>126</v>
      </c>
      <c r="X19" s="4">
        <v>697835.62958654074</v>
      </c>
      <c r="Y19" s="4">
        <v>12035.418765239492</v>
      </c>
      <c r="Z19" s="4">
        <v>57.981832057395351</v>
      </c>
      <c r="AA19" s="4">
        <v>3.8725943752004609E-171</v>
      </c>
      <c r="AB19" s="4">
        <v>674156.52149354888</v>
      </c>
      <c r="AC19" s="4">
        <v>721514.73767953261</v>
      </c>
      <c r="AD19" s="4">
        <v>674156.52149354888</v>
      </c>
      <c r="AE19" s="4">
        <v>721514.73767953261</v>
      </c>
      <c r="AH19" s="4" t="s">
        <v>126</v>
      </c>
      <c r="AI19" s="4">
        <v>484814.25658676017</v>
      </c>
      <c r="AJ19" s="4">
        <v>95428.021317590741</v>
      </c>
      <c r="AK19" s="4">
        <v>5.0804182030901215</v>
      </c>
      <c r="AL19" s="4">
        <v>6.4331365016162449E-7</v>
      </c>
      <c r="AM19" s="4">
        <v>297064.21016495663</v>
      </c>
      <c r="AN19" s="4">
        <v>672564.3030085637</v>
      </c>
      <c r="AO19" s="4">
        <v>297064.21016495663</v>
      </c>
      <c r="AP19" s="4">
        <v>672564.3030085637</v>
      </c>
    </row>
    <row r="20" spans="1:47" ht="14.5" thickBot="1">
      <c r="A20" s="5" t="s">
        <v>4</v>
      </c>
      <c r="B20" s="5">
        <v>2.1295753275898281</v>
      </c>
      <c r="C20" s="5">
        <v>0.26647838106932348</v>
      </c>
      <c r="D20" s="5">
        <v>7.991550080138869</v>
      </c>
      <c r="E20" s="5">
        <v>2.4800615101360068E-14</v>
      </c>
      <c r="F20" s="5">
        <v>1.6052919176921738</v>
      </c>
      <c r="G20" s="5">
        <v>2.6538587374874822</v>
      </c>
      <c r="H20" s="5">
        <v>1.6052919176921738</v>
      </c>
      <c r="I20" s="5">
        <v>2.6538587374874822</v>
      </c>
      <c r="L20" s="5" t="s">
        <v>5</v>
      </c>
      <c r="M20" s="5">
        <v>35.678031072640458</v>
      </c>
      <c r="N20" s="5">
        <v>1.1973782890340821</v>
      </c>
      <c r="O20" s="5">
        <v>29.796791372776362</v>
      </c>
      <c r="P20" s="5">
        <v>4.7503615090054677E-94</v>
      </c>
      <c r="Q20" s="5">
        <v>33.322246825554025</v>
      </c>
      <c r="R20" s="5">
        <v>38.033815319726891</v>
      </c>
      <c r="S20" s="5">
        <v>33.322246825554025</v>
      </c>
      <c r="T20" s="5">
        <v>38.033815319726891</v>
      </c>
      <c r="W20" s="5" t="s">
        <v>6</v>
      </c>
      <c r="X20" s="5">
        <v>-138730.45471638071</v>
      </c>
      <c r="Y20" s="5">
        <v>85086.379579668472</v>
      </c>
      <c r="Z20" s="5">
        <v>-1.6304660675623643</v>
      </c>
      <c r="AA20" s="5">
        <v>0.10399304641903374</v>
      </c>
      <c r="AB20" s="5">
        <v>-306133.81795682968</v>
      </c>
      <c r="AC20" s="5">
        <v>28672.908524068218</v>
      </c>
      <c r="AD20" s="5">
        <v>-306133.81795682968</v>
      </c>
      <c r="AE20" s="5">
        <v>28672.908524068218</v>
      </c>
      <c r="AH20" s="5" t="s">
        <v>8</v>
      </c>
      <c r="AI20" s="5">
        <v>2217.8319409989194</v>
      </c>
      <c r="AJ20" s="5">
        <v>1078.8571212403435</v>
      </c>
      <c r="AK20" s="5">
        <v>2.0557235034506851</v>
      </c>
      <c r="AL20" s="5">
        <v>4.0625296630164572E-2</v>
      </c>
      <c r="AM20" s="5">
        <v>95.232396351023908</v>
      </c>
      <c r="AN20" s="5">
        <v>4340.4314856468154</v>
      </c>
      <c r="AO20" s="5">
        <v>95.232396351023908</v>
      </c>
      <c r="AP20" s="5">
        <v>4340.4314856468154</v>
      </c>
    </row>
    <row r="24" spans="1:47">
      <c r="A24" t="s">
        <v>139</v>
      </c>
      <c r="L24" t="s">
        <v>139</v>
      </c>
      <c r="W24" t="s">
        <v>139</v>
      </c>
      <c r="AH24" t="s">
        <v>139</v>
      </c>
    </row>
    <row r="25" spans="1:47" ht="14.5" thickBot="1"/>
    <row r="26" spans="1:47" ht="14.5">
      <c r="A26" s="6" t="s">
        <v>140</v>
      </c>
      <c r="B26" s="6" t="s">
        <v>141</v>
      </c>
      <c r="C26" s="6" t="s">
        <v>142</v>
      </c>
      <c r="L26" s="6" t="s">
        <v>140</v>
      </c>
      <c r="M26" s="6" t="s">
        <v>144</v>
      </c>
      <c r="N26" s="6" t="s">
        <v>142</v>
      </c>
      <c r="W26" s="6" t="s">
        <v>140</v>
      </c>
      <c r="X26" s="6" t="s">
        <v>144</v>
      </c>
      <c r="Y26" s="6" t="s">
        <v>142</v>
      </c>
      <c r="AH26" s="6" t="s">
        <v>140</v>
      </c>
      <c r="AI26" s="6" t="s">
        <v>144</v>
      </c>
      <c r="AJ26" s="6" t="s">
        <v>142</v>
      </c>
    </row>
    <row r="27" spans="1:47">
      <c r="A27" s="4">
        <v>1</v>
      </c>
      <c r="B27" s="4">
        <v>710676.25743644347</v>
      </c>
      <c r="C27" s="4">
        <v>-51843.637436443474</v>
      </c>
      <c r="L27" s="4">
        <v>1</v>
      </c>
      <c r="M27" s="4">
        <v>742609.59689901455</v>
      </c>
      <c r="N27" s="4">
        <v>-83776.976899014553</v>
      </c>
      <c r="W27" s="4">
        <v>1</v>
      </c>
      <c r="X27" s="4">
        <v>692008.9504884528</v>
      </c>
      <c r="Y27" s="4">
        <v>-33176.330488452804</v>
      </c>
      <c r="AH27" s="4">
        <v>1</v>
      </c>
      <c r="AI27" s="4">
        <v>651151.65216167911</v>
      </c>
      <c r="AJ27" s="4">
        <v>7680.9678383208811</v>
      </c>
    </row>
    <row r="28" spans="1:47">
      <c r="A28" s="4">
        <v>2</v>
      </c>
      <c r="B28" s="4">
        <v>654112.13865375798</v>
      </c>
      <c r="C28" s="4">
        <v>-19676.138653757982</v>
      </c>
      <c r="L28" s="4">
        <v>2</v>
      </c>
      <c r="M28" s="4">
        <v>749210.03264745302</v>
      </c>
      <c r="N28" s="4">
        <v>-114774.03264745302</v>
      </c>
      <c r="W28" s="4">
        <v>2</v>
      </c>
      <c r="X28" s="4">
        <v>674528.91319418873</v>
      </c>
      <c r="Y28" s="4">
        <v>-40092.913194188732</v>
      </c>
      <c r="AH28" s="4">
        <v>2</v>
      </c>
      <c r="AI28" s="4">
        <v>671999.27240706899</v>
      </c>
      <c r="AJ28" s="4">
        <v>-37563.272407068987</v>
      </c>
    </row>
    <row r="29" spans="1:47">
      <c r="A29" s="4">
        <v>3</v>
      </c>
      <c r="B29" s="4">
        <v>688385.22583544278</v>
      </c>
      <c r="C29" s="4">
        <v>-9663.16583544272</v>
      </c>
      <c r="L29" s="4">
        <v>3</v>
      </c>
      <c r="M29" s="4">
        <v>771544.480098926</v>
      </c>
      <c r="N29" s="4">
        <v>-92822.420098925941</v>
      </c>
      <c r="W29" s="4">
        <v>3</v>
      </c>
      <c r="X29" s="4">
        <v>679384.47910926212</v>
      </c>
      <c r="Y29" s="4">
        <v>-662.41910926206037</v>
      </c>
      <c r="AH29" s="4">
        <v>3</v>
      </c>
      <c r="AI29" s="4">
        <v>679983.46739466512</v>
      </c>
      <c r="AJ29" s="4">
        <v>-1261.4073946650606</v>
      </c>
    </row>
    <row r="30" spans="1:47">
      <c r="A30" s="4">
        <v>4</v>
      </c>
      <c r="B30" s="4">
        <v>681857.82190734067</v>
      </c>
      <c r="C30" s="4">
        <v>-22937.521907340619</v>
      </c>
      <c r="L30" s="4">
        <v>4</v>
      </c>
      <c r="M30" s="4">
        <v>782890.09398002562</v>
      </c>
      <c r="N30" s="4">
        <v>-123969.79398002557</v>
      </c>
      <c r="W30" s="4">
        <v>4</v>
      </c>
      <c r="X30" s="4">
        <v>678135.90501681471</v>
      </c>
      <c r="Y30" s="4">
        <v>-19215.605016814661</v>
      </c>
      <c r="AH30" s="4">
        <v>4</v>
      </c>
      <c r="AI30" s="4">
        <v>677543.85225956631</v>
      </c>
      <c r="AJ30" s="4">
        <v>-18623.552259566262</v>
      </c>
      <c r="AS30" s="9"/>
      <c r="AT30" s="9"/>
      <c r="AU30" s="9"/>
    </row>
    <row r="31" spans="1:47">
      <c r="A31" s="4">
        <v>5</v>
      </c>
      <c r="B31" s="4">
        <v>663875.7091369254</v>
      </c>
      <c r="C31" s="4">
        <v>77465.730863074539</v>
      </c>
      <c r="L31" s="4">
        <v>5</v>
      </c>
      <c r="M31" s="4">
        <v>786957.38952230662</v>
      </c>
      <c r="N31" s="4">
        <v>-45615.949522306677</v>
      </c>
      <c r="W31" s="4">
        <v>5</v>
      </c>
      <c r="X31" s="4">
        <v>665788.89454705676</v>
      </c>
      <c r="Y31" s="4">
        <v>75552.545452943188</v>
      </c>
      <c r="AH31" s="4">
        <v>5</v>
      </c>
      <c r="AI31" s="4">
        <v>701274.65402825468</v>
      </c>
      <c r="AJ31" s="4">
        <v>40066.785971745267</v>
      </c>
      <c r="AS31" s="9"/>
      <c r="AT31" s="9"/>
      <c r="AU31" s="9"/>
    </row>
    <row r="32" spans="1:47">
      <c r="A32" s="4">
        <v>6</v>
      </c>
      <c r="B32" s="4">
        <v>698797.69921668014</v>
      </c>
      <c r="C32" s="4">
        <v>63037.640783319832</v>
      </c>
      <c r="L32" s="4">
        <v>6</v>
      </c>
      <c r="M32" s="4">
        <v>795769.86319724878</v>
      </c>
      <c r="N32" s="4">
        <v>-33934.523197248811</v>
      </c>
      <c r="W32" s="4">
        <v>6</v>
      </c>
      <c r="X32" s="4">
        <v>682297.81865830615</v>
      </c>
      <c r="Y32" s="4">
        <v>79537.52134169382</v>
      </c>
      <c r="AH32" s="4">
        <v>6</v>
      </c>
      <c r="AI32" s="4">
        <v>671555.70601886918</v>
      </c>
      <c r="AJ32" s="4">
        <v>90279.633981130784</v>
      </c>
      <c r="AS32" s="9"/>
      <c r="AT32" s="9"/>
      <c r="AU32" s="9"/>
    </row>
    <row r="33" spans="1:47">
      <c r="A33" s="4">
        <v>7</v>
      </c>
      <c r="B33" s="4">
        <v>659192.36837224313</v>
      </c>
      <c r="C33" s="4">
        <v>147423.17162775691</v>
      </c>
      <c r="L33" s="4">
        <v>7</v>
      </c>
      <c r="M33" s="4">
        <v>825168.56080110453</v>
      </c>
      <c r="N33" s="4">
        <v>-18553.020801104489</v>
      </c>
      <c r="W33" s="4">
        <v>7</v>
      </c>
      <c r="X33" s="4">
        <v>680910.51411114226</v>
      </c>
      <c r="Y33" s="4">
        <v>125705.02588885778</v>
      </c>
      <c r="AH33" s="4">
        <v>7</v>
      </c>
      <c r="AI33" s="4">
        <v>673773.53795986809</v>
      </c>
      <c r="AJ33" s="4">
        <v>132842.00204013195</v>
      </c>
      <c r="AS33" s="9"/>
      <c r="AT33" s="9"/>
      <c r="AU33" s="9"/>
    </row>
    <row r="34" spans="1:47">
      <c r="A34" s="4">
        <v>8</v>
      </c>
      <c r="B34" s="4">
        <v>705904.752253199</v>
      </c>
      <c r="C34" s="4">
        <v>144259.50774680101</v>
      </c>
      <c r="L34" s="4">
        <v>8</v>
      </c>
      <c r="M34" s="4">
        <v>752064.27513326425</v>
      </c>
      <c r="N34" s="4">
        <v>98099.984866735758</v>
      </c>
      <c r="W34" s="4">
        <v>8</v>
      </c>
      <c r="X34" s="4">
        <v>680216.86183756043</v>
      </c>
      <c r="Y34" s="4">
        <v>169947.39816243958</v>
      </c>
      <c r="AH34" s="4">
        <v>8</v>
      </c>
      <c r="AI34" s="4">
        <v>696838.99014625687</v>
      </c>
      <c r="AJ34" s="4">
        <v>153325.26985374314</v>
      </c>
      <c r="AS34" s="9"/>
      <c r="AT34" s="9"/>
      <c r="AU34" s="9"/>
    </row>
    <row r="35" spans="1:47">
      <c r="A35" s="4">
        <v>9</v>
      </c>
      <c r="B35" s="4">
        <v>713763.60926761688</v>
      </c>
      <c r="C35" s="4">
        <v>216818.09073238308</v>
      </c>
      <c r="L35" s="4">
        <v>9</v>
      </c>
      <c r="M35" s="4">
        <v>838119.68608047301</v>
      </c>
      <c r="N35" s="4">
        <v>92462.013919526944</v>
      </c>
      <c r="W35" s="4">
        <v>9</v>
      </c>
      <c r="X35" s="4">
        <v>668008.58182251884</v>
      </c>
      <c r="Y35" s="4">
        <v>262573.11817748111</v>
      </c>
      <c r="AH35" s="4">
        <v>9</v>
      </c>
      <c r="AI35" s="4">
        <v>681314.16655926441</v>
      </c>
      <c r="AJ35" s="4">
        <v>249267.53344073554</v>
      </c>
      <c r="AS35" s="9"/>
      <c r="AT35" s="9"/>
      <c r="AU35" s="9"/>
    </row>
    <row r="36" spans="1:47">
      <c r="A36" s="4">
        <v>10</v>
      </c>
      <c r="B36" s="4">
        <v>705872.63825725892</v>
      </c>
      <c r="C36" s="4">
        <v>73138.301742741023</v>
      </c>
      <c r="L36" s="4">
        <v>10</v>
      </c>
      <c r="M36" s="4">
        <v>783889.07885005954</v>
      </c>
      <c r="N36" s="4">
        <v>-4878.1388500595931</v>
      </c>
      <c r="W36" s="4">
        <v>10</v>
      </c>
      <c r="X36" s="4">
        <v>667314.92954893701</v>
      </c>
      <c r="Y36" s="4">
        <v>111696.01045106293</v>
      </c>
      <c r="AH36" s="4">
        <v>10</v>
      </c>
      <c r="AI36" s="4">
        <v>673329.97157166828</v>
      </c>
      <c r="AJ36" s="4">
        <v>105680.96842833166</v>
      </c>
      <c r="AS36" s="9"/>
      <c r="AT36" s="9"/>
      <c r="AU36" s="9"/>
    </row>
    <row r="37" spans="1:47">
      <c r="A37" s="4">
        <v>11</v>
      </c>
      <c r="B37" s="4">
        <v>633790.28276667313</v>
      </c>
      <c r="C37" s="4">
        <v>89270.477233326877</v>
      </c>
      <c r="L37" s="4">
        <v>11</v>
      </c>
      <c r="M37" s="4">
        <v>773649.48393221176</v>
      </c>
      <c r="N37" s="4">
        <v>-50588.723932211753</v>
      </c>
      <c r="W37" s="4">
        <v>11</v>
      </c>
      <c r="X37" s="4">
        <v>668286.04273195169</v>
      </c>
      <c r="Y37" s="4">
        <v>54774.71726804832</v>
      </c>
      <c r="AH37" s="4">
        <v>11</v>
      </c>
      <c r="AI37" s="4">
        <v>680648.81697696471</v>
      </c>
      <c r="AJ37" s="4">
        <v>42411.943023035303</v>
      </c>
      <c r="AS37" s="9"/>
      <c r="AT37" s="9"/>
      <c r="AU37" s="9"/>
    </row>
    <row r="38" spans="1:47">
      <c r="A38" s="4">
        <v>12</v>
      </c>
      <c r="B38" s="4">
        <v>705545.62066995422</v>
      </c>
      <c r="C38" s="4">
        <v>205246.31933004572</v>
      </c>
      <c r="L38" s="4">
        <v>12</v>
      </c>
      <c r="M38" s="4">
        <v>847074.87187970581</v>
      </c>
      <c r="N38" s="4">
        <v>63717.068120294134</v>
      </c>
      <c r="W38" s="4">
        <v>12</v>
      </c>
      <c r="X38" s="4">
        <v>697558.16867710801</v>
      </c>
      <c r="Y38" s="4">
        <v>213233.77132289193</v>
      </c>
      <c r="AH38" s="4">
        <v>12</v>
      </c>
      <c r="AI38" s="4">
        <v>673995.32115396799</v>
      </c>
      <c r="AJ38" s="4">
        <v>236796.61884603195</v>
      </c>
      <c r="AS38" s="9"/>
      <c r="AT38" s="9"/>
      <c r="AU38" s="9"/>
    </row>
    <row r="39" spans="1:47">
      <c r="A39" s="4">
        <v>13</v>
      </c>
      <c r="B39" s="4">
        <v>713741.03576914431</v>
      </c>
      <c r="C39" s="4">
        <v>208427.56423085567</v>
      </c>
      <c r="L39" s="4">
        <v>13</v>
      </c>
      <c r="M39" s="4">
        <v>902197.42988693528</v>
      </c>
      <c r="N39" s="4">
        <v>19971.170113064698</v>
      </c>
      <c r="W39" s="4">
        <v>13</v>
      </c>
      <c r="X39" s="4">
        <v>681742.89683944057</v>
      </c>
      <c r="Y39" s="4">
        <v>240425.70316055941</v>
      </c>
      <c r="AH39" s="4">
        <v>13</v>
      </c>
      <c r="AI39" s="4">
        <v>666011.12616637186</v>
      </c>
      <c r="AJ39" s="4">
        <v>256157.47383362812</v>
      </c>
      <c r="AS39" s="9"/>
      <c r="AT39" s="9"/>
      <c r="AU39" s="9"/>
    </row>
    <row r="40" spans="1:47">
      <c r="A40" s="4">
        <v>14</v>
      </c>
      <c r="B40" s="4">
        <v>679430.51065320056</v>
      </c>
      <c r="C40" s="4">
        <v>47175.769346799469</v>
      </c>
      <c r="L40" s="4">
        <v>14</v>
      </c>
      <c r="M40" s="4">
        <v>805117.50733828056</v>
      </c>
      <c r="N40" s="4">
        <v>-78511.227338280529</v>
      </c>
      <c r="W40" s="4">
        <v>14</v>
      </c>
      <c r="X40" s="4">
        <v>677580.98319794913</v>
      </c>
      <c r="Y40" s="4">
        <v>49025.2968020509</v>
      </c>
      <c r="AH40" s="4">
        <v>14</v>
      </c>
      <c r="AI40" s="4">
        <v>673108.1883775685</v>
      </c>
      <c r="AJ40" s="4">
        <v>53498.09162243153</v>
      </c>
      <c r="AS40" s="9"/>
      <c r="AT40" s="9"/>
      <c r="AU40" s="9"/>
    </row>
    <row r="41" spans="1:47">
      <c r="A41" s="4">
        <v>15</v>
      </c>
      <c r="B41" s="4">
        <v>688359.15983343311</v>
      </c>
      <c r="C41" s="4">
        <v>58141.930166566861</v>
      </c>
      <c r="L41" s="4">
        <v>15</v>
      </c>
      <c r="M41" s="4">
        <v>763766.66932509025</v>
      </c>
      <c r="N41" s="4">
        <v>-17265.579325090279</v>
      </c>
      <c r="W41" s="4">
        <v>15</v>
      </c>
      <c r="X41" s="4">
        <v>666205.08591120597</v>
      </c>
      <c r="Y41" s="4">
        <v>80296.004088793998</v>
      </c>
      <c r="AH41" s="4">
        <v>15</v>
      </c>
      <c r="AI41" s="4">
        <v>681757.73294746422</v>
      </c>
      <c r="AJ41" s="4">
        <v>64743.35705253575</v>
      </c>
      <c r="AS41" s="9"/>
      <c r="AT41" s="9"/>
      <c r="AU41" s="9"/>
    </row>
    <row r="42" spans="1:47">
      <c r="A42" s="4">
        <v>16</v>
      </c>
      <c r="B42" s="4">
        <v>721146.52749207162</v>
      </c>
      <c r="C42" s="4">
        <v>112870.4925079284</v>
      </c>
      <c r="L42" s="4">
        <v>16</v>
      </c>
      <c r="M42" s="4">
        <v>836728.24286863999</v>
      </c>
      <c r="N42" s="4">
        <v>-2711.2228686399758</v>
      </c>
      <c r="W42" s="4">
        <v>16</v>
      </c>
      <c r="X42" s="4">
        <v>697003.24685824243</v>
      </c>
      <c r="Y42" s="4">
        <v>137013.77314175759</v>
      </c>
      <c r="AH42" s="4">
        <v>16</v>
      </c>
      <c r="AI42" s="4">
        <v>654478.40007317753</v>
      </c>
      <c r="AJ42" s="4">
        <v>179538.61992682249</v>
      </c>
      <c r="AS42" s="9"/>
      <c r="AT42" s="9"/>
      <c r="AU42" s="9"/>
    </row>
    <row r="43" spans="1:47">
      <c r="A43" s="4">
        <v>17</v>
      </c>
      <c r="B43" s="4">
        <v>664709.60824370314</v>
      </c>
      <c r="C43" s="4">
        <v>1442.911756296875</v>
      </c>
      <c r="L43" s="4">
        <v>17</v>
      </c>
      <c r="M43" s="4">
        <v>698190.44821357715</v>
      </c>
      <c r="N43" s="4">
        <v>-32037.928213577135</v>
      </c>
      <c r="W43" s="4">
        <v>17</v>
      </c>
      <c r="X43" s="4">
        <v>697141.9773129588</v>
      </c>
      <c r="Y43" s="4">
        <v>-30989.457312958781</v>
      </c>
      <c r="AH43" s="4">
        <v>17</v>
      </c>
      <c r="AI43" s="4">
        <v>679318.11781236541</v>
      </c>
      <c r="AJ43" s="4">
        <v>-13165.597812365391</v>
      </c>
      <c r="AS43" s="9"/>
      <c r="AT43" s="9"/>
      <c r="AU43" s="9"/>
    </row>
    <row r="44" spans="1:47">
      <c r="A44" s="4">
        <v>18</v>
      </c>
      <c r="B44" s="4">
        <v>686673.36670835968</v>
      </c>
      <c r="C44" s="4">
        <v>-113518.17670835974</v>
      </c>
      <c r="L44" s="4">
        <v>18</v>
      </c>
      <c r="M44" s="4">
        <v>598506.02939661965</v>
      </c>
      <c r="N44" s="4">
        <v>-25350.839396619704</v>
      </c>
      <c r="W44" s="4">
        <v>18</v>
      </c>
      <c r="X44" s="4">
        <v>681326.70547529147</v>
      </c>
      <c r="Y44" s="4">
        <v>-108171.51547529153</v>
      </c>
      <c r="AH44" s="4">
        <v>18</v>
      </c>
      <c r="AI44" s="4">
        <v>679096.33461826551</v>
      </c>
      <c r="AJ44" s="4">
        <v>-105941.14461826556</v>
      </c>
      <c r="AS44" s="9"/>
      <c r="AT44" s="9"/>
      <c r="AU44" s="9"/>
    </row>
    <row r="45" spans="1:47">
      <c r="A45" s="4">
        <v>19</v>
      </c>
      <c r="B45" s="4">
        <v>728654.1536477101</v>
      </c>
      <c r="C45" s="4">
        <v>-62080.95364771015</v>
      </c>
      <c r="L45" s="4">
        <v>19</v>
      </c>
      <c r="M45" s="4">
        <v>643995.51901423628</v>
      </c>
      <c r="N45" s="4">
        <v>22577.680985763669</v>
      </c>
      <c r="W45" s="4">
        <v>19</v>
      </c>
      <c r="X45" s="4">
        <v>697835.62958654074</v>
      </c>
      <c r="Y45" s="4">
        <v>-31262.429586540791</v>
      </c>
      <c r="AH45" s="4">
        <v>19</v>
      </c>
      <c r="AI45" s="4">
        <v>693512.24223475845</v>
      </c>
      <c r="AJ45" s="4">
        <v>-26939.042234758497</v>
      </c>
      <c r="AS45" s="9"/>
      <c r="AT45" s="9"/>
      <c r="AU45" s="9"/>
    </row>
    <row r="46" spans="1:47">
      <c r="A46" s="4">
        <v>20</v>
      </c>
      <c r="B46" s="4">
        <v>649031.05710514181</v>
      </c>
      <c r="C46" s="4">
        <v>-57411.107105141855</v>
      </c>
      <c r="L46" s="4">
        <v>20</v>
      </c>
      <c r="M46" s="4">
        <v>619984.20410234923</v>
      </c>
      <c r="N46" s="4">
        <v>-28364.254102349281</v>
      </c>
      <c r="W46" s="4">
        <v>20</v>
      </c>
      <c r="X46" s="4">
        <v>675916.21774135262</v>
      </c>
      <c r="Y46" s="4">
        <v>-84296.267741352669</v>
      </c>
      <c r="AH46" s="4">
        <v>20</v>
      </c>
      <c r="AI46" s="4">
        <v>680648.81697696471</v>
      </c>
      <c r="AJ46" s="4">
        <v>-89028.866976964753</v>
      </c>
      <c r="AS46" s="9"/>
      <c r="AT46" s="9"/>
      <c r="AU46" s="9"/>
    </row>
    <row r="47" spans="1:47">
      <c r="A47" s="4">
        <v>21</v>
      </c>
      <c r="B47" s="4">
        <v>625423.33037484554</v>
      </c>
      <c r="C47" s="4">
        <v>-209701.51037484553</v>
      </c>
      <c r="L47" s="4">
        <v>21</v>
      </c>
      <c r="M47" s="4">
        <v>547093.98662094481</v>
      </c>
      <c r="N47" s="4">
        <v>-131372.1666209448</v>
      </c>
      <c r="W47" s="4">
        <v>21</v>
      </c>
      <c r="X47" s="4">
        <v>665788.89454705676</v>
      </c>
      <c r="Y47" s="4">
        <v>-250067.07454705675</v>
      </c>
      <c r="AH47" s="4">
        <v>21</v>
      </c>
      <c r="AI47" s="4">
        <v>672886.40518346848</v>
      </c>
      <c r="AJ47" s="4">
        <v>-257164.58518346847</v>
      </c>
      <c r="AS47" s="9"/>
      <c r="AT47" s="9"/>
      <c r="AU47" s="9"/>
    </row>
    <row r="48" spans="1:47">
      <c r="A48" s="4">
        <v>22</v>
      </c>
      <c r="B48" s="4">
        <v>632158.32530588121</v>
      </c>
      <c r="C48" s="4">
        <v>-140253.19530588121</v>
      </c>
      <c r="L48" s="4">
        <v>22</v>
      </c>
      <c r="M48" s="4">
        <v>522083.68683902384</v>
      </c>
      <c r="N48" s="4">
        <v>-30178.556839023833</v>
      </c>
      <c r="W48" s="4">
        <v>22</v>
      </c>
      <c r="X48" s="4">
        <v>673419.06955645769</v>
      </c>
      <c r="Y48" s="4">
        <v>-181513.93955645768</v>
      </c>
      <c r="AH48" s="4">
        <v>22</v>
      </c>
      <c r="AI48" s="4">
        <v>681092.38336516451</v>
      </c>
      <c r="AJ48" s="4">
        <v>-189187.25336516451</v>
      </c>
      <c r="AS48" s="9"/>
      <c r="AT48" s="9"/>
      <c r="AU48" s="9"/>
    </row>
    <row r="49" spans="1:47">
      <c r="A49" s="4">
        <v>23</v>
      </c>
      <c r="B49" s="4">
        <v>650788.89376354753</v>
      </c>
      <c r="C49" s="4">
        <v>-94859.493763547507</v>
      </c>
      <c r="L49" s="4">
        <v>23</v>
      </c>
      <c r="M49" s="4">
        <v>566431.47946231591</v>
      </c>
      <c r="N49" s="4">
        <v>-10502.079462315887</v>
      </c>
      <c r="W49" s="4">
        <v>23</v>
      </c>
      <c r="X49" s="4">
        <v>675638.75683191977</v>
      </c>
      <c r="Y49" s="4">
        <v>-119709.35683191975</v>
      </c>
      <c r="AH49" s="4">
        <v>23</v>
      </c>
      <c r="AI49" s="4">
        <v>666676.47574867157</v>
      </c>
      <c r="AJ49" s="4">
        <v>-110747.07574867154</v>
      </c>
      <c r="AS49" s="9"/>
      <c r="AT49" s="9"/>
      <c r="AU49" s="9"/>
    </row>
    <row r="50" spans="1:47">
      <c r="A50" s="4">
        <v>24</v>
      </c>
      <c r="B50" s="4">
        <v>692939.7059970526</v>
      </c>
      <c r="C50" s="4">
        <v>-127128.71599705261</v>
      </c>
      <c r="L50" s="4">
        <v>24</v>
      </c>
      <c r="M50" s="4">
        <v>539637.27812676295</v>
      </c>
      <c r="N50" s="4">
        <v>26173.711873237044</v>
      </c>
      <c r="W50" s="4">
        <v>24</v>
      </c>
      <c r="X50" s="4">
        <v>667869.85136780248</v>
      </c>
      <c r="Y50" s="4">
        <v>-102058.86136780248</v>
      </c>
      <c r="AH50" s="4">
        <v>24</v>
      </c>
      <c r="AI50" s="4">
        <v>689076.57835276064</v>
      </c>
      <c r="AJ50" s="4">
        <v>-123265.58835276065</v>
      </c>
      <c r="AS50" s="9"/>
      <c r="AT50" s="9"/>
      <c r="AU50" s="9"/>
    </row>
    <row r="51" spans="1:47">
      <c r="A51" s="4">
        <v>25</v>
      </c>
      <c r="B51" s="4">
        <v>683646.79295703582</v>
      </c>
      <c r="C51" s="4">
        <v>128124.34704296419</v>
      </c>
      <c r="L51" s="4">
        <v>25</v>
      </c>
      <c r="M51" s="4">
        <v>810968.70443419367</v>
      </c>
      <c r="N51" s="4">
        <v>802.43556580634322</v>
      </c>
      <c r="W51" s="4">
        <v>25</v>
      </c>
      <c r="X51" s="4">
        <v>681049.24456585874</v>
      </c>
      <c r="Y51" s="4">
        <v>130721.89543414128</v>
      </c>
      <c r="AH51" s="4">
        <v>25</v>
      </c>
      <c r="AI51" s="4">
        <v>695064.72459345777</v>
      </c>
      <c r="AJ51" s="4">
        <v>116706.41540654225</v>
      </c>
      <c r="AS51" s="9"/>
      <c r="AT51" s="9"/>
      <c r="AU51" s="9"/>
    </row>
    <row r="52" spans="1:47">
      <c r="A52" s="4">
        <v>26</v>
      </c>
      <c r="B52" s="4">
        <v>927949.18293500762</v>
      </c>
      <c r="C52" s="4">
        <v>-127497.24293500767</v>
      </c>
      <c r="L52" s="4">
        <v>26</v>
      </c>
      <c r="M52" s="4">
        <v>764908.36631941481</v>
      </c>
      <c r="N52" s="4">
        <v>35543.573680585134</v>
      </c>
      <c r="W52" s="4">
        <v>26</v>
      </c>
      <c r="X52" s="4">
        <v>678413.36592624744</v>
      </c>
      <c r="Y52" s="4">
        <v>122038.5740737525</v>
      </c>
      <c r="AH52" s="4">
        <v>26</v>
      </c>
      <c r="AI52" s="4">
        <v>675991.36990086699</v>
      </c>
      <c r="AJ52" s="4">
        <v>124460.57009913295</v>
      </c>
      <c r="AS52" s="9"/>
      <c r="AT52" s="9"/>
      <c r="AU52" s="9"/>
    </row>
    <row r="53" spans="1:47">
      <c r="A53" s="4">
        <v>27</v>
      </c>
      <c r="B53" s="4">
        <v>678480.08118449722</v>
      </c>
      <c r="C53" s="4">
        <v>105192.73881550273</v>
      </c>
      <c r="L53" s="4">
        <v>27</v>
      </c>
      <c r="M53" s="4">
        <v>778751.44237559929</v>
      </c>
      <c r="N53" s="4">
        <v>4921.3776244006585</v>
      </c>
      <c r="W53" s="4">
        <v>27</v>
      </c>
      <c r="X53" s="4">
        <v>674390.18273947237</v>
      </c>
      <c r="Y53" s="4">
        <v>109282.63726052758</v>
      </c>
      <c r="AH53" s="4">
        <v>27</v>
      </c>
      <c r="AI53" s="4">
        <v>688633.01196456084</v>
      </c>
      <c r="AJ53" s="4">
        <v>95039.808035439113</v>
      </c>
      <c r="AS53" s="9"/>
      <c r="AT53" s="9"/>
      <c r="AU53" s="9"/>
    </row>
    <row r="54" spans="1:47">
      <c r="A54" s="4">
        <v>28</v>
      </c>
      <c r="B54" s="4">
        <v>673038.12180086761</v>
      </c>
      <c r="C54" s="4">
        <v>28603.848199132364</v>
      </c>
      <c r="L54" s="4">
        <v>28</v>
      </c>
      <c r="M54" s="4">
        <v>704113.00137163547</v>
      </c>
      <c r="N54" s="4">
        <v>-2471.0313716355013</v>
      </c>
      <c r="W54" s="4">
        <v>28</v>
      </c>
      <c r="X54" s="4">
        <v>680910.51411114226</v>
      </c>
      <c r="Y54" s="4">
        <v>20731.455888857716</v>
      </c>
      <c r="AH54" s="4">
        <v>28</v>
      </c>
      <c r="AI54" s="4">
        <v>671555.70601886918</v>
      </c>
      <c r="AJ54" s="4">
        <v>30086.263981130789</v>
      </c>
      <c r="AS54" s="9"/>
      <c r="AT54" s="9"/>
      <c r="AU54" s="9"/>
    </row>
    <row r="55" spans="1:47">
      <c r="A55" s="4">
        <v>29</v>
      </c>
      <c r="B55" s="4">
        <v>706867.53325880237</v>
      </c>
      <c r="C55" s="4">
        <v>-195023.1232588024</v>
      </c>
      <c r="L55" s="4">
        <v>29</v>
      </c>
      <c r="M55" s="4">
        <v>588694.57085164357</v>
      </c>
      <c r="N55" s="4">
        <v>-76850.160851643595</v>
      </c>
      <c r="W55" s="4">
        <v>29</v>
      </c>
      <c r="X55" s="4">
        <v>680633.05320170952</v>
      </c>
      <c r="Y55" s="4">
        <v>-168788.64320170955</v>
      </c>
      <c r="AH55" s="4">
        <v>29</v>
      </c>
      <c r="AI55" s="4">
        <v>673329.97157166828</v>
      </c>
      <c r="AJ55" s="4">
        <v>-161485.56157166831</v>
      </c>
      <c r="AS55" s="9"/>
      <c r="AT55" s="9"/>
      <c r="AU55" s="9"/>
    </row>
    <row r="56" spans="1:47">
      <c r="A56" s="4">
        <v>30</v>
      </c>
      <c r="B56" s="4">
        <v>695316.95093524118</v>
      </c>
      <c r="C56" s="4">
        <v>-157933.16093524115</v>
      </c>
      <c r="L56" s="4">
        <v>30</v>
      </c>
      <c r="M56" s="4">
        <v>531681.07719756418</v>
      </c>
      <c r="N56" s="4">
        <v>5702.7128024358535</v>
      </c>
      <c r="W56" s="4">
        <v>30</v>
      </c>
      <c r="X56" s="4">
        <v>667869.85136780248</v>
      </c>
      <c r="Y56" s="4">
        <v>-130486.06136780244</v>
      </c>
      <c r="AH56" s="4">
        <v>30</v>
      </c>
      <c r="AI56" s="4">
        <v>678874.55142416561</v>
      </c>
      <c r="AJ56" s="4">
        <v>-141490.76142416557</v>
      </c>
      <c r="AS56" s="9"/>
      <c r="AT56" s="9"/>
      <c r="AU56" s="9"/>
    </row>
    <row r="57" spans="1:47">
      <c r="A57" s="4">
        <v>31</v>
      </c>
      <c r="B57" s="4">
        <v>656544.51829717786</v>
      </c>
      <c r="C57" s="4">
        <v>-156371.49829717784</v>
      </c>
      <c r="L57" s="4">
        <v>31</v>
      </c>
      <c r="M57" s="4">
        <v>534570.99771444802</v>
      </c>
      <c r="N57" s="4">
        <v>-34397.977714448003</v>
      </c>
      <c r="W57" s="4">
        <v>31</v>
      </c>
      <c r="X57" s="4">
        <v>678968.28774511302</v>
      </c>
      <c r="Y57" s="4">
        <v>-178795.267745113</v>
      </c>
      <c r="AH57" s="4">
        <v>31</v>
      </c>
      <c r="AI57" s="4">
        <v>679096.33461826551</v>
      </c>
      <c r="AJ57" s="4">
        <v>-178923.31461826549</v>
      </c>
      <c r="AS57" s="9"/>
      <c r="AT57" s="9"/>
      <c r="AU57" s="9"/>
    </row>
    <row r="58" spans="1:47">
      <c r="A58" s="4">
        <v>32</v>
      </c>
      <c r="B58" s="4">
        <v>709456.52187181311</v>
      </c>
      <c r="C58" s="4">
        <v>-281539.1418718131</v>
      </c>
      <c r="L58" s="4">
        <v>32</v>
      </c>
      <c r="M58" s="4">
        <v>481053.9511054873</v>
      </c>
      <c r="N58" s="4">
        <v>-53136.571105487295</v>
      </c>
      <c r="W58" s="4">
        <v>32</v>
      </c>
      <c r="X58" s="4">
        <v>674528.91319418873</v>
      </c>
      <c r="Y58" s="4">
        <v>-246611.53319418873</v>
      </c>
      <c r="AH58" s="4">
        <v>32</v>
      </c>
      <c r="AI58" s="4">
        <v>684197.34808256302</v>
      </c>
      <c r="AJ58" s="4">
        <v>-256279.96808256302</v>
      </c>
      <c r="AS58" s="9"/>
      <c r="AT58" s="9"/>
      <c r="AU58" s="9"/>
    </row>
    <row r="59" spans="1:47">
      <c r="A59" s="4">
        <v>33</v>
      </c>
      <c r="B59" s="4">
        <v>677047.53715738084</v>
      </c>
      <c r="C59" s="4">
        <v>-35182.507157380809</v>
      </c>
      <c r="L59" s="4">
        <v>33</v>
      </c>
      <c r="M59" s="4">
        <v>782818.73791788029</v>
      </c>
      <c r="N59" s="4">
        <v>-140953.70791788027</v>
      </c>
      <c r="W59" s="4">
        <v>33</v>
      </c>
      <c r="X59" s="4">
        <v>671754.30409986118</v>
      </c>
      <c r="Y59" s="4">
        <v>-29889.274099861155</v>
      </c>
      <c r="AH59" s="4">
        <v>33</v>
      </c>
      <c r="AI59" s="4">
        <v>669559.65727197018</v>
      </c>
      <c r="AJ59" s="4">
        <v>-27694.627271970152</v>
      </c>
      <c r="AS59" s="9"/>
      <c r="AT59" s="9"/>
      <c r="AU59" s="9"/>
    </row>
    <row r="60" spans="1:47">
      <c r="A60" s="4">
        <v>34</v>
      </c>
      <c r="B60" s="4">
        <v>717880.18485461432</v>
      </c>
      <c r="C60" s="4">
        <v>81597.575145385694</v>
      </c>
      <c r="L60" s="4">
        <v>34</v>
      </c>
      <c r="M60" s="4">
        <v>863665.1563284836</v>
      </c>
      <c r="N60" s="4">
        <v>-64187.396328483592</v>
      </c>
      <c r="W60" s="4">
        <v>34</v>
      </c>
      <c r="X60" s="4">
        <v>688124.49775639409</v>
      </c>
      <c r="Y60" s="4">
        <v>111353.26224360592</v>
      </c>
      <c r="AH60" s="4">
        <v>34</v>
      </c>
      <c r="AI60" s="4">
        <v>672664.62198936869</v>
      </c>
      <c r="AJ60" s="4">
        <v>126813.13801063132</v>
      </c>
      <c r="AS60" s="9"/>
      <c r="AT60" s="9"/>
      <c r="AU60" s="9"/>
    </row>
    <row r="61" spans="1:47">
      <c r="A61" s="4">
        <v>35</v>
      </c>
      <c r="B61" s="4">
        <v>719247.30832766718</v>
      </c>
      <c r="C61" s="4">
        <v>79704.86167233286</v>
      </c>
      <c r="L61" s="4">
        <v>35</v>
      </c>
      <c r="M61" s="4">
        <v>783532.29853933305</v>
      </c>
      <c r="N61" s="4">
        <v>15419.871460666996</v>
      </c>
      <c r="W61" s="4">
        <v>35</v>
      </c>
      <c r="X61" s="4">
        <v>692425.1418526019</v>
      </c>
      <c r="Y61" s="4">
        <v>106527.02814739814</v>
      </c>
      <c r="AH61" s="4">
        <v>35</v>
      </c>
      <c r="AI61" s="4">
        <v>689076.57835276064</v>
      </c>
      <c r="AJ61" s="4">
        <v>109875.5916472394</v>
      </c>
      <c r="AS61" s="9"/>
      <c r="AT61" s="9"/>
      <c r="AU61" s="9"/>
    </row>
    <row r="62" spans="1:47">
      <c r="A62" s="4">
        <v>36</v>
      </c>
      <c r="B62" s="4">
        <v>672545.48714033619</v>
      </c>
      <c r="C62" s="4">
        <v>128434.29285966384</v>
      </c>
      <c r="L62" s="4">
        <v>36</v>
      </c>
      <c r="M62" s="4">
        <v>819353.04173626413</v>
      </c>
      <c r="N62" s="4">
        <v>-18373.261736264103</v>
      </c>
      <c r="W62" s="4">
        <v>36</v>
      </c>
      <c r="X62" s="4">
        <v>663569.20727159467</v>
      </c>
      <c r="Y62" s="4">
        <v>137410.57272840536</v>
      </c>
      <c r="AH62" s="4">
        <v>36</v>
      </c>
      <c r="AI62" s="4">
        <v>704379.61874565319</v>
      </c>
      <c r="AJ62" s="4">
        <v>96600.161254346836</v>
      </c>
      <c r="AS62" s="9"/>
      <c r="AT62" s="9"/>
      <c r="AU62" s="9"/>
    </row>
    <row r="63" spans="1:47">
      <c r="A63" s="4">
        <v>37</v>
      </c>
      <c r="B63" s="4">
        <v>721070.20351233077</v>
      </c>
      <c r="C63" s="4">
        <v>99523.726487669279</v>
      </c>
      <c r="L63" s="4">
        <v>37</v>
      </c>
      <c r="M63" s="4">
        <v>761733.0215539498</v>
      </c>
      <c r="N63" s="4">
        <v>58860.908446050249</v>
      </c>
      <c r="W63" s="4">
        <v>37</v>
      </c>
      <c r="X63" s="4">
        <v>685072.4277526337</v>
      </c>
      <c r="Y63" s="4">
        <v>135521.50224736636</v>
      </c>
      <c r="AH63" s="4">
        <v>37</v>
      </c>
      <c r="AI63" s="4">
        <v>669116.09088377038</v>
      </c>
      <c r="AJ63" s="4">
        <v>151477.83911622968</v>
      </c>
      <c r="AS63" s="9"/>
      <c r="AT63" s="9"/>
      <c r="AU63" s="9"/>
    </row>
    <row r="64" spans="1:47">
      <c r="A64" s="4">
        <v>38</v>
      </c>
      <c r="B64" s="4">
        <v>691204.05951356038</v>
      </c>
      <c r="C64" s="4">
        <v>27126.470486439648</v>
      </c>
      <c r="L64" s="4">
        <v>38</v>
      </c>
      <c r="M64" s="4">
        <v>737400.6043624091</v>
      </c>
      <c r="N64" s="4">
        <v>-19070.074362409068</v>
      </c>
      <c r="W64" s="4">
        <v>38</v>
      </c>
      <c r="X64" s="4">
        <v>676193.67865078535</v>
      </c>
      <c r="Y64" s="4">
        <v>42136.851349214674</v>
      </c>
      <c r="AH64" s="4">
        <v>38</v>
      </c>
      <c r="AI64" s="4">
        <v>690850.84390555974</v>
      </c>
      <c r="AJ64" s="4">
        <v>27479.686094440287</v>
      </c>
      <c r="AS64" s="9"/>
      <c r="AT64" s="9"/>
      <c r="AU64" s="9"/>
    </row>
    <row r="65" spans="1:47">
      <c r="A65" s="4">
        <v>39</v>
      </c>
      <c r="B65" s="4">
        <v>759639.77280468796</v>
      </c>
      <c r="C65" s="4">
        <v>-23006.372804687941</v>
      </c>
      <c r="L65" s="4">
        <v>39</v>
      </c>
      <c r="M65" s="4">
        <v>716207.85390526056</v>
      </c>
      <c r="N65" s="4">
        <v>20425.54609473946</v>
      </c>
      <c r="W65" s="4">
        <v>39</v>
      </c>
      <c r="X65" s="4">
        <v>670366.99955269741</v>
      </c>
      <c r="Y65" s="4">
        <v>66266.400447302614</v>
      </c>
      <c r="AH65" s="4">
        <v>39</v>
      </c>
      <c r="AI65" s="4">
        <v>668672.52449557057</v>
      </c>
      <c r="AJ65" s="4">
        <v>67960.875504429452</v>
      </c>
      <c r="AS65" s="9"/>
      <c r="AT65" s="9"/>
      <c r="AU65" s="9"/>
    </row>
    <row r="66" spans="1:47">
      <c r="A66" s="4">
        <v>40</v>
      </c>
      <c r="B66" s="4">
        <v>699225.70126601914</v>
      </c>
      <c r="C66" s="4">
        <v>129398.14873398084</v>
      </c>
      <c r="L66" s="4">
        <v>40</v>
      </c>
      <c r="M66" s="4">
        <v>788848.32516915654</v>
      </c>
      <c r="N66" s="4">
        <v>39775.524830843438</v>
      </c>
      <c r="W66" s="4">
        <v>40</v>
      </c>
      <c r="X66" s="4">
        <v>686043.54093564837</v>
      </c>
      <c r="Y66" s="4">
        <v>142580.3090643516</v>
      </c>
      <c r="AH66" s="4">
        <v>40</v>
      </c>
      <c r="AI66" s="4">
        <v>702827.13638695399</v>
      </c>
      <c r="AJ66" s="4">
        <v>125796.71361304598</v>
      </c>
      <c r="AS66" s="9"/>
      <c r="AT66" s="9"/>
      <c r="AU66" s="9"/>
    </row>
    <row r="67" spans="1:47">
      <c r="A67" s="4">
        <v>41</v>
      </c>
      <c r="B67" s="4">
        <v>646946.22415518458</v>
      </c>
      <c r="C67" s="4">
        <v>-54750.374155184603</v>
      </c>
      <c r="L67" s="4">
        <v>41</v>
      </c>
      <c r="M67" s="4">
        <v>576992.17665981757</v>
      </c>
      <c r="N67" s="4">
        <v>15203.673340182402</v>
      </c>
      <c r="W67" s="4">
        <v>41</v>
      </c>
      <c r="X67" s="4">
        <v>667592.39045836974</v>
      </c>
      <c r="Y67" s="4">
        <v>-75396.540458369767</v>
      </c>
      <c r="AH67" s="4">
        <v>41</v>
      </c>
      <c r="AI67" s="4">
        <v>695951.85736985737</v>
      </c>
      <c r="AJ67" s="4">
        <v>-103756.0073698574</v>
      </c>
      <c r="AS67" s="9"/>
      <c r="AT67" s="9"/>
      <c r="AU67" s="9"/>
    </row>
    <row r="68" spans="1:47">
      <c r="A68" s="4">
        <v>42</v>
      </c>
      <c r="B68" s="4">
        <v>659001.622310151</v>
      </c>
      <c r="C68" s="4">
        <v>-126357.16231015103</v>
      </c>
      <c r="L68" s="4">
        <v>42</v>
      </c>
      <c r="M68" s="4">
        <v>561543.58920536423</v>
      </c>
      <c r="N68" s="4">
        <v>-28899.129205364268</v>
      </c>
      <c r="W68" s="4">
        <v>42</v>
      </c>
      <c r="X68" s="4">
        <v>677997.17456209834</v>
      </c>
      <c r="Y68" s="4">
        <v>-145352.71456209838</v>
      </c>
      <c r="AH68" s="4">
        <v>42</v>
      </c>
      <c r="AI68" s="4">
        <v>652038.78493807872</v>
      </c>
      <c r="AJ68" s="4">
        <v>-119394.32493807876</v>
      </c>
      <c r="AS68" s="9"/>
      <c r="AT68" s="9"/>
      <c r="AU68" s="9"/>
    </row>
    <row r="69" spans="1:47">
      <c r="A69" s="4">
        <v>43</v>
      </c>
      <c r="B69" s="4">
        <v>705753.59499644663</v>
      </c>
      <c r="C69" s="4">
        <v>-48324.414996446576</v>
      </c>
      <c r="L69" s="4">
        <v>43</v>
      </c>
      <c r="M69" s="4">
        <v>566288.76733802538</v>
      </c>
      <c r="N69" s="4">
        <v>91140.412661974668</v>
      </c>
      <c r="W69" s="4">
        <v>43</v>
      </c>
      <c r="X69" s="4">
        <v>680078.13138284406</v>
      </c>
      <c r="Y69" s="4">
        <v>-22648.95138284401</v>
      </c>
      <c r="AH69" s="4">
        <v>43</v>
      </c>
      <c r="AI69" s="4">
        <v>680427.03378286492</v>
      </c>
      <c r="AJ69" s="4">
        <v>-22997.85378286487</v>
      </c>
      <c r="AS69" s="9"/>
      <c r="AT69" s="9"/>
      <c r="AU69" s="9"/>
    </row>
    <row r="70" spans="1:47">
      <c r="A70" s="4">
        <v>44</v>
      </c>
      <c r="B70" s="4">
        <v>698948.74999466608</v>
      </c>
      <c r="C70" s="4">
        <v>-93770.749994666083</v>
      </c>
      <c r="L70" s="4">
        <v>44</v>
      </c>
      <c r="M70" s="4">
        <v>576349.97210051003</v>
      </c>
      <c r="N70" s="4">
        <v>28828.027899489971</v>
      </c>
      <c r="W70" s="4">
        <v>44</v>
      </c>
      <c r="X70" s="4">
        <v>695199.75094692956</v>
      </c>
      <c r="Y70" s="4">
        <v>-90021.750946929562</v>
      </c>
      <c r="AH70" s="4">
        <v>44</v>
      </c>
      <c r="AI70" s="4">
        <v>679539.90100646531</v>
      </c>
      <c r="AJ70" s="4">
        <v>-74361.901006465312</v>
      </c>
      <c r="AS70" s="9"/>
      <c r="AT70" s="9"/>
      <c r="AU70" s="9"/>
    </row>
    <row r="71" spans="1:47">
      <c r="A71" s="4">
        <v>45</v>
      </c>
      <c r="B71" s="4">
        <v>856480.61364533973</v>
      </c>
      <c r="C71" s="4">
        <v>-261013.01364533976</v>
      </c>
      <c r="L71" s="4">
        <v>45</v>
      </c>
      <c r="M71" s="4">
        <v>629974.05280268856</v>
      </c>
      <c r="N71" s="4">
        <v>-34506.452802688582</v>
      </c>
      <c r="W71" s="4">
        <v>45</v>
      </c>
      <c r="X71" s="4">
        <v>689511.80230355787</v>
      </c>
      <c r="Y71" s="4">
        <v>-94044.20230355789</v>
      </c>
      <c r="AH71" s="4">
        <v>45</v>
      </c>
      <c r="AI71" s="4">
        <v>680427.03378286492</v>
      </c>
      <c r="AJ71" s="4">
        <v>-84959.433782864944</v>
      </c>
      <c r="AS71" s="9"/>
      <c r="AT71" s="9"/>
      <c r="AU71" s="9"/>
    </row>
    <row r="72" spans="1:47">
      <c r="A72" s="4">
        <v>46</v>
      </c>
      <c r="B72" s="4">
        <v>696282.67075479659</v>
      </c>
      <c r="C72" s="4">
        <v>-96679.270754796569</v>
      </c>
      <c r="L72" s="4">
        <v>46</v>
      </c>
      <c r="M72" s="4">
        <v>605534.60151792993</v>
      </c>
      <c r="N72" s="4">
        <v>-5931.2015179299051</v>
      </c>
      <c r="W72" s="4">
        <v>46</v>
      </c>
      <c r="X72" s="4">
        <v>665233.97272819129</v>
      </c>
      <c r="Y72" s="4">
        <v>-65630.57272819127</v>
      </c>
      <c r="AH72" s="4">
        <v>46</v>
      </c>
      <c r="AI72" s="4">
        <v>703492.48596925358</v>
      </c>
      <c r="AJ72" s="4">
        <v>-103889.08596925356</v>
      </c>
      <c r="AS72" s="9"/>
      <c r="AT72" s="9"/>
      <c r="AU72" s="9"/>
    </row>
    <row r="73" spans="1:47">
      <c r="A73" s="4">
        <v>47</v>
      </c>
      <c r="B73" s="4">
        <v>667349.06779197778</v>
      </c>
      <c r="C73" s="4">
        <v>-52548.977791977813</v>
      </c>
      <c r="L73" s="4">
        <v>47</v>
      </c>
      <c r="M73" s="4">
        <v>582129.81313427771</v>
      </c>
      <c r="N73" s="4">
        <v>32670.276865722262</v>
      </c>
      <c r="W73" s="4">
        <v>47</v>
      </c>
      <c r="X73" s="4">
        <v>682159.08820358966</v>
      </c>
      <c r="Y73" s="4">
        <v>-67358.998203589697</v>
      </c>
      <c r="AH73" s="4">
        <v>47</v>
      </c>
      <c r="AI73" s="4">
        <v>686415.18002356193</v>
      </c>
      <c r="AJ73" s="4">
        <v>-71615.090023561963</v>
      </c>
      <c r="AS73" s="9"/>
      <c r="AT73" s="9"/>
      <c r="AU73" s="9"/>
    </row>
    <row r="74" spans="1:47">
      <c r="A74" s="4">
        <v>48</v>
      </c>
      <c r="B74" s="4">
        <v>650419.3485569508</v>
      </c>
      <c r="C74" s="4">
        <v>-65053.618556950823</v>
      </c>
      <c r="L74" s="4">
        <v>48</v>
      </c>
      <c r="M74" s="4">
        <v>591762.88152389065</v>
      </c>
      <c r="N74" s="4">
        <v>-6397.1515238906723</v>
      </c>
      <c r="W74" s="4">
        <v>48</v>
      </c>
      <c r="X74" s="4">
        <v>676332.40910550172</v>
      </c>
      <c r="Y74" s="4">
        <v>-90966.679105501738</v>
      </c>
      <c r="AH74" s="4">
        <v>48</v>
      </c>
      <c r="AI74" s="4">
        <v>679983.46739466512</v>
      </c>
      <c r="AJ74" s="4">
        <v>-94617.737394665135</v>
      </c>
      <c r="AS74" s="9"/>
      <c r="AT74" s="9"/>
      <c r="AU74" s="9"/>
    </row>
    <row r="75" spans="1:47">
      <c r="A75" s="4">
        <v>49</v>
      </c>
      <c r="B75" s="4">
        <v>660066.77200175158</v>
      </c>
      <c r="C75" s="4">
        <v>-37255.032001751591</v>
      </c>
      <c r="L75" s="4">
        <v>49</v>
      </c>
      <c r="M75" s="4">
        <v>628511.25352871034</v>
      </c>
      <c r="N75" s="4">
        <v>-5699.5135287103476</v>
      </c>
      <c r="W75" s="4">
        <v>49</v>
      </c>
      <c r="X75" s="4">
        <v>682714.01002245524</v>
      </c>
      <c r="Y75" s="4">
        <v>-59902.270022455254</v>
      </c>
      <c r="AH75" s="4">
        <v>49</v>
      </c>
      <c r="AI75" s="4">
        <v>700609.30444595497</v>
      </c>
      <c r="AJ75" s="4">
        <v>-77797.56444595498</v>
      </c>
      <c r="AS75" s="9"/>
      <c r="AT75" s="9"/>
      <c r="AU75" s="9"/>
    </row>
    <row r="76" spans="1:47">
      <c r="A76" s="4">
        <v>50</v>
      </c>
      <c r="B76" s="4">
        <v>666639.15256077237</v>
      </c>
      <c r="C76" s="4">
        <v>-63341.582560772425</v>
      </c>
      <c r="L76" s="4">
        <v>50</v>
      </c>
      <c r="M76" s="4">
        <v>644744.75766676175</v>
      </c>
      <c r="N76" s="4">
        <v>-41447.187666761805</v>
      </c>
      <c r="W76" s="4">
        <v>50</v>
      </c>
      <c r="X76" s="4">
        <v>667592.39045836974</v>
      </c>
      <c r="Y76" s="4">
        <v>-64294.820458369795</v>
      </c>
      <c r="AH76" s="4">
        <v>50</v>
      </c>
      <c r="AI76" s="4">
        <v>642280.32439768338</v>
      </c>
      <c r="AJ76" s="4">
        <v>-38982.754397683428</v>
      </c>
      <c r="AS76" s="9"/>
      <c r="AT76" s="9"/>
      <c r="AU76" s="9"/>
    </row>
    <row r="77" spans="1:47">
      <c r="A77" s="4">
        <v>51</v>
      </c>
      <c r="B77" s="4">
        <v>663609.95943179552</v>
      </c>
      <c r="C77" s="4">
        <v>-37937.099431795534</v>
      </c>
      <c r="L77" s="4">
        <v>51</v>
      </c>
      <c r="M77" s="4">
        <v>630152.4429580518</v>
      </c>
      <c r="N77" s="4">
        <v>-4479.5829580518184</v>
      </c>
      <c r="W77" s="4">
        <v>51</v>
      </c>
      <c r="X77" s="4">
        <v>696725.7859488097</v>
      </c>
      <c r="Y77" s="4">
        <v>-71052.925948809716</v>
      </c>
      <c r="AH77" s="4">
        <v>51</v>
      </c>
      <c r="AI77" s="4">
        <v>663127.94464307325</v>
      </c>
      <c r="AJ77" s="4">
        <v>-37455.084643073264</v>
      </c>
      <c r="AS77" s="9"/>
      <c r="AT77" s="9"/>
      <c r="AU77" s="9"/>
    </row>
    <row r="78" spans="1:47">
      <c r="A78" s="4">
        <v>52</v>
      </c>
      <c r="B78" s="4">
        <v>699865.21273689438</v>
      </c>
      <c r="C78" s="4">
        <v>73949.927263105637</v>
      </c>
      <c r="L78" s="4">
        <v>52</v>
      </c>
      <c r="M78" s="4">
        <v>702899.9483151657</v>
      </c>
      <c r="N78" s="4">
        <v>70915.19168483431</v>
      </c>
      <c r="W78" s="4">
        <v>52</v>
      </c>
      <c r="X78" s="4">
        <v>690899.10685072176</v>
      </c>
      <c r="Y78" s="4">
        <v>82916.033149278257</v>
      </c>
      <c r="AH78" s="4">
        <v>52</v>
      </c>
      <c r="AI78" s="4">
        <v>692625.10945835896</v>
      </c>
      <c r="AJ78" s="4">
        <v>81190.030541641056</v>
      </c>
      <c r="AS78" s="9"/>
      <c r="AT78" s="9"/>
      <c r="AU78" s="9"/>
    </row>
    <row r="79" spans="1:47">
      <c r="A79" s="4">
        <v>53</v>
      </c>
      <c r="B79" s="4">
        <v>673677.76104626246</v>
      </c>
      <c r="C79" s="4">
        <v>-210143.51104626246</v>
      </c>
      <c r="L79" s="4">
        <v>53</v>
      </c>
      <c r="M79" s="4">
        <v>563398.84682114155</v>
      </c>
      <c r="N79" s="4">
        <v>-99864.596821141546</v>
      </c>
      <c r="W79" s="4">
        <v>53</v>
      </c>
      <c r="X79" s="4">
        <v>685766.08002621564</v>
      </c>
      <c r="Y79" s="4">
        <v>-222231.83002621564</v>
      </c>
      <c r="AH79" s="4">
        <v>53</v>
      </c>
      <c r="AI79" s="4">
        <v>671777.48921296909</v>
      </c>
      <c r="AJ79" s="4">
        <v>-208243.23921296909</v>
      </c>
      <c r="AS79" s="9"/>
      <c r="AT79" s="9"/>
      <c r="AU79" s="9"/>
    </row>
    <row r="80" spans="1:47">
      <c r="A80" s="4">
        <v>54</v>
      </c>
      <c r="B80" s="4">
        <v>773466.57301289681</v>
      </c>
      <c r="C80" s="4">
        <v>-26788.823012896813</v>
      </c>
      <c r="L80" s="4">
        <v>54</v>
      </c>
      <c r="M80" s="4">
        <v>656447.15185858775</v>
      </c>
      <c r="N80" s="4">
        <v>90230.598141412251</v>
      </c>
      <c r="W80" s="4">
        <v>54</v>
      </c>
      <c r="X80" s="4">
        <v>661488.25045084895</v>
      </c>
      <c r="Y80" s="4">
        <v>85189.499549151049</v>
      </c>
      <c r="AH80" s="4">
        <v>54</v>
      </c>
      <c r="AI80" s="4">
        <v>681535.94975336432</v>
      </c>
      <c r="AJ80" s="4">
        <v>65141.800246635685</v>
      </c>
      <c r="AS80" s="9"/>
      <c r="AT80" s="9"/>
      <c r="AU80" s="9"/>
    </row>
    <row r="81" spans="1:47">
      <c r="A81" s="4">
        <v>55</v>
      </c>
      <c r="B81" s="4">
        <v>733689.27896075696</v>
      </c>
      <c r="C81" s="4">
        <v>-12836.778960756958</v>
      </c>
      <c r="L81" s="4">
        <v>55</v>
      </c>
      <c r="M81" s="4">
        <v>643210.60233063821</v>
      </c>
      <c r="N81" s="4">
        <v>77641.897669361788</v>
      </c>
      <c r="W81" s="4">
        <v>55</v>
      </c>
      <c r="X81" s="4">
        <v>683130.20138660434</v>
      </c>
      <c r="Y81" s="4">
        <v>37722.298613395658</v>
      </c>
      <c r="AH81" s="4">
        <v>55</v>
      </c>
      <c r="AI81" s="4">
        <v>679983.46739466512</v>
      </c>
      <c r="AJ81" s="4">
        <v>40869.032605334884</v>
      </c>
      <c r="AS81" s="9"/>
      <c r="AT81" s="9"/>
      <c r="AU81" s="9"/>
    </row>
    <row r="82" spans="1:47">
      <c r="A82" s="4">
        <v>56</v>
      </c>
      <c r="B82" s="4">
        <v>619997.85390425147</v>
      </c>
      <c r="C82" s="4">
        <v>-132532.9439042515</v>
      </c>
      <c r="L82" s="4">
        <v>56</v>
      </c>
      <c r="M82" s="4">
        <v>548556.78589492303</v>
      </c>
      <c r="N82" s="4">
        <v>-61091.875894923054</v>
      </c>
      <c r="W82" s="4">
        <v>56</v>
      </c>
      <c r="X82" s="4">
        <v>686737.19320923032</v>
      </c>
      <c r="Y82" s="4">
        <v>-199272.28320923034</v>
      </c>
      <c r="AH82" s="4">
        <v>56</v>
      </c>
      <c r="AI82" s="4">
        <v>682866.64891796373</v>
      </c>
      <c r="AJ82" s="4">
        <v>-195401.73891796375</v>
      </c>
      <c r="AS82" s="9"/>
      <c r="AT82" s="9"/>
      <c r="AU82" s="9"/>
    </row>
    <row r="83" spans="1:47">
      <c r="A83" s="4">
        <v>57</v>
      </c>
      <c r="B83" s="4">
        <v>602016.69944273378</v>
      </c>
      <c r="C83" s="4">
        <v>-83967.439442733768</v>
      </c>
      <c r="L83" s="4">
        <v>57</v>
      </c>
      <c r="M83" s="4">
        <v>531252.94082469249</v>
      </c>
      <c r="N83" s="4">
        <v>-13203.680824692477</v>
      </c>
      <c r="W83" s="4">
        <v>57</v>
      </c>
      <c r="X83" s="4">
        <v>697835.62958654074</v>
      </c>
      <c r="Y83" s="4">
        <v>-179786.36958654074</v>
      </c>
      <c r="AH83" s="4">
        <v>57</v>
      </c>
      <c r="AI83" s="4">
        <v>695064.72459345777</v>
      </c>
      <c r="AJ83" s="4">
        <v>-177015.46459345776</v>
      </c>
      <c r="AS83" s="9"/>
      <c r="AT83" s="9"/>
      <c r="AU83" s="9"/>
    </row>
    <row r="84" spans="1:47">
      <c r="A84" s="4">
        <v>58</v>
      </c>
      <c r="B84" s="4">
        <v>687286.21589613357</v>
      </c>
      <c r="C84" s="4">
        <v>-186987.73589613358</v>
      </c>
      <c r="L84" s="4">
        <v>58</v>
      </c>
      <c r="M84" s="4">
        <v>536140.83108164417</v>
      </c>
      <c r="N84" s="4">
        <v>-35842.351081644185</v>
      </c>
      <c r="W84" s="4">
        <v>58</v>
      </c>
      <c r="X84" s="4">
        <v>692425.1418526019</v>
      </c>
      <c r="Y84" s="4">
        <v>-192126.66185260192</v>
      </c>
      <c r="AH84" s="4">
        <v>58</v>
      </c>
      <c r="AI84" s="4">
        <v>653369.48410267802</v>
      </c>
      <c r="AJ84" s="4">
        <v>-153071.00410267804</v>
      </c>
      <c r="AS84" s="9"/>
      <c r="AT84" s="9"/>
      <c r="AU84" s="9"/>
    </row>
    <row r="85" spans="1:47">
      <c r="A85" s="4">
        <v>59</v>
      </c>
      <c r="B85" s="4">
        <v>814006.16984930076</v>
      </c>
      <c r="C85" s="4">
        <v>-196715.01984930073</v>
      </c>
      <c r="L85" s="4">
        <v>59</v>
      </c>
      <c r="M85" s="4">
        <v>589907.62390811334</v>
      </c>
      <c r="N85" s="4">
        <v>27383.526091886684</v>
      </c>
      <c r="W85" s="4">
        <v>59</v>
      </c>
      <c r="X85" s="4">
        <v>678829.55729039654</v>
      </c>
      <c r="Y85" s="4">
        <v>-61538.407290396513</v>
      </c>
      <c r="AH85" s="4">
        <v>59</v>
      </c>
      <c r="AI85" s="4">
        <v>677987.418647766</v>
      </c>
      <c r="AJ85" s="4">
        <v>-60696.268647765974</v>
      </c>
      <c r="AS85" s="9"/>
      <c r="AT85" s="9"/>
      <c r="AU85" s="9"/>
    </row>
    <row r="86" spans="1:47">
      <c r="A86" s="4">
        <v>60</v>
      </c>
      <c r="B86" s="4">
        <v>673542.87374501291</v>
      </c>
      <c r="C86" s="4">
        <v>-119786.44374501286</v>
      </c>
      <c r="L86" s="4">
        <v>60</v>
      </c>
      <c r="M86" s="4">
        <v>602573.32493890077</v>
      </c>
      <c r="N86" s="4">
        <v>-48816.894938900718</v>
      </c>
      <c r="W86" s="4">
        <v>60</v>
      </c>
      <c r="X86" s="4">
        <v>685072.4277526337</v>
      </c>
      <c r="Y86" s="4">
        <v>-131315.99775263364</v>
      </c>
      <c r="AH86" s="4">
        <v>60</v>
      </c>
      <c r="AI86" s="4">
        <v>681314.16655926441</v>
      </c>
      <c r="AJ86" s="4">
        <v>-127557.73655926436</v>
      </c>
      <c r="AS86" s="9"/>
      <c r="AT86" s="9"/>
      <c r="AU86" s="9"/>
    </row>
    <row r="87" spans="1:47">
      <c r="A87" s="4">
        <v>61</v>
      </c>
      <c r="B87" s="4">
        <v>720299.53149702935</v>
      </c>
      <c r="C87" s="4">
        <v>29260.178502970608</v>
      </c>
      <c r="L87" s="4">
        <v>61</v>
      </c>
      <c r="M87" s="4">
        <v>635718.21580538375</v>
      </c>
      <c r="N87" s="4">
        <v>113841.49419461621</v>
      </c>
      <c r="W87" s="4">
        <v>61</v>
      </c>
      <c r="X87" s="4">
        <v>689234.34139412513</v>
      </c>
      <c r="Y87" s="4">
        <v>60325.368605874828</v>
      </c>
      <c r="AH87" s="4">
        <v>61</v>
      </c>
      <c r="AI87" s="4">
        <v>696838.99014625687</v>
      </c>
      <c r="AJ87" s="4">
        <v>52720.719853743096</v>
      </c>
      <c r="AS87" s="9"/>
      <c r="AT87" s="9"/>
      <c r="AU87" s="9"/>
    </row>
    <row r="88" spans="1:47">
      <c r="A88" s="4">
        <v>62</v>
      </c>
      <c r="B88" s="4">
        <v>640177.83748301235</v>
      </c>
      <c r="C88" s="4">
        <v>-24211.357483012369</v>
      </c>
      <c r="L88" s="4">
        <v>62</v>
      </c>
      <c r="M88" s="4">
        <v>586553.8889872852</v>
      </c>
      <c r="N88" s="4">
        <v>29412.59101271478</v>
      </c>
      <c r="W88" s="4">
        <v>62</v>
      </c>
      <c r="X88" s="4">
        <v>687569.57593752863</v>
      </c>
      <c r="Y88" s="4">
        <v>-71603.095937528647</v>
      </c>
      <c r="AH88" s="4">
        <v>62</v>
      </c>
      <c r="AI88" s="4">
        <v>676656.7194831667</v>
      </c>
      <c r="AJ88" s="4">
        <v>-60690.239483166719</v>
      </c>
      <c r="AS88" s="9"/>
      <c r="AT88" s="9"/>
      <c r="AU88" s="9"/>
    </row>
    <row r="89" spans="1:47">
      <c r="A89" s="4">
        <v>63</v>
      </c>
      <c r="B89" s="4">
        <v>667986.96078560397</v>
      </c>
      <c r="C89" s="4">
        <v>-95975.760785604012</v>
      </c>
      <c r="L89" s="4">
        <v>63</v>
      </c>
      <c r="M89" s="4">
        <v>583592.61240825604</v>
      </c>
      <c r="N89" s="4">
        <v>-11581.412408256088</v>
      </c>
      <c r="W89" s="4">
        <v>63</v>
      </c>
      <c r="X89" s="4">
        <v>682159.08820358966</v>
      </c>
      <c r="Y89" s="4">
        <v>-110147.88820358971</v>
      </c>
      <c r="AH89" s="4">
        <v>63</v>
      </c>
      <c r="AI89" s="4">
        <v>681535.94975336432</v>
      </c>
      <c r="AJ89" s="4">
        <v>-109524.74975336436</v>
      </c>
      <c r="AS89" s="9"/>
      <c r="AT89" s="9"/>
      <c r="AU89" s="9"/>
    </row>
    <row r="90" spans="1:47">
      <c r="A90" s="4">
        <v>64</v>
      </c>
      <c r="B90" s="4">
        <v>720398.53545400896</v>
      </c>
      <c r="C90" s="4">
        <v>41461.654545990983</v>
      </c>
      <c r="L90" s="4">
        <v>64</v>
      </c>
      <c r="M90" s="4">
        <v>682599.14863483328</v>
      </c>
      <c r="N90" s="4">
        <v>79261.04136516666</v>
      </c>
      <c r="W90" s="4">
        <v>64</v>
      </c>
      <c r="X90" s="4">
        <v>690344.18503185618</v>
      </c>
      <c r="Y90" s="4">
        <v>71516.004968143767</v>
      </c>
      <c r="AH90" s="4">
        <v>64</v>
      </c>
      <c r="AI90" s="4">
        <v>686858.74641176173</v>
      </c>
      <c r="AJ90" s="4">
        <v>75001.443588238209</v>
      </c>
      <c r="AS90" s="9"/>
      <c r="AT90" s="9"/>
      <c r="AU90" s="9"/>
    </row>
    <row r="91" spans="1:47">
      <c r="A91" s="4">
        <v>65</v>
      </c>
      <c r="B91" s="4">
        <v>709933.46156218019</v>
      </c>
      <c r="C91" s="4">
        <v>74569.218437819858</v>
      </c>
      <c r="L91" s="4">
        <v>65</v>
      </c>
      <c r="M91" s="4">
        <v>773756.51802542969</v>
      </c>
      <c r="N91" s="4">
        <v>10746.161974570365</v>
      </c>
      <c r="W91" s="4">
        <v>65</v>
      </c>
      <c r="X91" s="4">
        <v>682991.47093188798</v>
      </c>
      <c r="Y91" s="4">
        <v>101511.20906811208</v>
      </c>
      <c r="AH91" s="4">
        <v>65</v>
      </c>
      <c r="AI91" s="4">
        <v>695730.07417575736</v>
      </c>
      <c r="AJ91" s="4">
        <v>88772.605824242695</v>
      </c>
      <c r="AS91" s="9"/>
      <c r="AT91" s="9"/>
      <c r="AU91" s="9"/>
    </row>
    <row r="92" spans="1:47">
      <c r="A92" s="4">
        <v>66</v>
      </c>
      <c r="B92" s="4">
        <v>669702.33371197758</v>
      </c>
      <c r="C92" s="4">
        <v>47439.216288022464</v>
      </c>
      <c r="L92" s="4">
        <v>66</v>
      </c>
      <c r="M92" s="4">
        <v>729694.14965071867</v>
      </c>
      <c r="N92" s="4">
        <v>-12552.599650718621</v>
      </c>
      <c r="W92" s="4">
        <v>66</v>
      </c>
      <c r="X92" s="4">
        <v>676193.67865078535</v>
      </c>
      <c r="Y92" s="4">
        <v>40947.871349214693</v>
      </c>
      <c r="AH92" s="4">
        <v>66</v>
      </c>
      <c r="AI92" s="4">
        <v>691737.97668195935</v>
      </c>
      <c r="AJ92" s="4">
        <v>25403.573318040697</v>
      </c>
      <c r="AS92" s="9"/>
      <c r="AT92" s="9"/>
      <c r="AU92" s="9"/>
    </row>
    <row r="93" spans="1:47">
      <c r="A93" s="4">
        <v>67</v>
      </c>
      <c r="B93" s="4">
        <v>729750.84234991227</v>
      </c>
      <c r="C93" s="4">
        <v>-44371.762349912315</v>
      </c>
      <c r="L93" s="4">
        <v>67</v>
      </c>
      <c r="M93" s="4">
        <v>789918.66610133578</v>
      </c>
      <c r="N93" s="4">
        <v>-104539.58610133582</v>
      </c>
      <c r="W93" s="4">
        <v>67</v>
      </c>
      <c r="X93" s="4">
        <v>683685.12320546992</v>
      </c>
      <c r="Y93" s="4">
        <v>1693.9567945300369</v>
      </c>
      <c r="AH93" s="4">
        <v>67</v>
      </c>
      <c r="AI93" s="4">
        <v>704379.61874565319</v>
      </c>
      <c r="AJ93" s="4">
        <v>-19000.538745653233</v>
      </c>
      <c r="AS93" s="9"/>
      <c r="AT93" s="9"/>
      <c r="AU93" s="9"/>
    </row>
    <row r="94" spans="1:47">
      <c r="A94" s="4">
        <v>68</v>
      </c>
      <c r="B94" s="4">
        <v>650258.69339423743</v>
      </c>
      <c r="C94" s="4">
        <v>90237.956605762593</v>
      </c>
      <c r="L94" s="4">
        <v>68</v>
      </c>
      <c r="M94" s="4">
        <v>742395.5287125787</v>
      </c>
      <c r="N94" s="4">
        <v>-1898.8787125786766</v>
      </c>
      <c r="W94" s="4">
        <v>68</v>
      </c>
      <c r="X94" s="4">
        <v>681881.62729415693</v>
      </c>
      <c r="Y94" s="4">
        <v>58615.02270584309</v>
      </c>
      <c r="AH94" s="4">
        <v>68</v>
      </c>
      <c r="AI94" s="4">
        <v>688411.22877046093</v>
      </c>
      <c r="AJ94" s="4">
        <v>52085.42122953909</v>
      </c>
      <c r="AS94" s="9"/>
      <c r="AT94" s="9"/>
      <c r="AU94" s="9"/>
    </row>
    <row r="95" spans="1:47">
      <c r="A95" s="4">
        <v>69</v>
      </c>
      <c r="B95" s="4">
        <v>711843.54156075534</v>
      </c>
      <c r="C95" s="4">
        <v>-49916.40156075533</v>
      </c>
      <c r="L95" s="4">
        <v>69</v>
      </c>
      <c r="M95" s="4">
        <v>574673.10464009584</v>
      </c>
      <c r="N95" s="4">
        <v>87254.03535990417</v>
      </c>
      <c r="W95" s="4">
        <v>69</v>
      </c>
      <c r="X95" s="4">
        <v>678274.63547153107</v>
      </c>
      <c r="Y95" s="4">
        <v>-16347.49547153106</v>
      </c>
      <c r="AH95" s="4">
        <v>69</v>
      </c>
      <c r="AI95" s="4">
        <v>681979.51614156412</v>
      </c>
      <c r="AJ95" s="4">
        <v>-20052.376141564106</v>
      </c>
      <c r="AS95" s="9"/>
      <c r="AT95" s="9"/>
      <c r="AU95" s="9"/>
    </row>
    <row r="96" spans="1:47">
      <c r="A96" s="4">
        <v>70</v>
      </c>
      <c r="B96" s="4">
        <v>639174.36029289884</v>
      </c>
      <c r="C96" s="4">
        <v>-160123.86029289884</v>
      </c>
      <c r="L96" s="4">
        <v>70</v>
      </c>
      <c r="M96" s="4">
        <v>547522.12299381651</v>
      </c>
      <c r="N96" s="4">
        <v>-68471.622993816505</v>
      </c>
      <c r="W96" s="4">
        <v>70</v>
      </c>
      <c r="X96" s="4">
        <v>671338.11273571197</v>
      </c>
      <c r="Y96" s="4">
        <v>-192287.61273571197</v>
      </c>
      <c r="AH96" s="4">
        <v>70</v>
      </c>
      <c r="AI96" s="4">
        <v>666232.90936047176</v>
      </c>
      <c r="AJ96" s="4">
        <v>-187182.40936047176</v>
      </c>
      <c r="AS96" s="9"/>
      <c r="AT96" s="9"/>
      <c r="AU96" s="9"/>
    </row>
    <row r="97" spans="1:47">
      <c r="A97" s="4">
        <v>71</v>
      </c>
      <c r="B97" s="4">
        <v>689769.5988686491</v>
      </c>
      <c r="C97" s="4">
        <v>-84745.728868649108</v>
      </c>
      <c r="L97" s="4">
        <v>71</v>
      </c>
      <c r="M97" s="4">
        <v>560330.53614889446</v>
      </c>
      <c r="N97" s="4">
        <v>44693.333851105534</v>
      </c>
      <c r="W97" s="4">
        <v>71</v>
      </c>
      <c r="X97" s="4">
        <v>670505.73000741377</v>
      </c>
      <c r="Y97" s="4">
        <v>-65481.860007413779</v>
      </c>
      <c r="AH97" s="4">
        <v>71</v>
      </c>
      <c r="AI97" s="4">
        <v>704379.61874565319</v>
      </c>
      <c r="AJ97" s="4">
        <v>-99355.748745653196</v>
      </c>
      <c r="AS97" s="9"/>
      <c r="AT97" s="9"/>
      <c r="AU97" s="9"/>
    </row>
    <row r="98" spans="1:47">
      <c r="A98" s="4">
        <v>72</v>
      </c>
      <c r="B98" s="4">
        <v>678076.82480046479</v>
      </c>
      <c r="C98" s="4">
        <v>-3302.7348004648229</v>
      </c>
      <c r="L98" s="4">
        <v>72</v>
      </c>
      <c r="M98" s="4">
        <v>642104.58336738637</v>
      </c>
      <c r="N98" s="4">
        <v>32669.5066326136</v>
      </c>
      <c r="W98" s="4">
        <v>72</v>
      </c>
      <c r="X98" s="4">
        <v>692841.33321675099</v>
      </c>
      <c r="Y98" s="4">
        <v>-18067.243216751027</v>
      </c>
      <c r="AH98" s="4">
        <v>72</v>
      </c>
      <c r="AI98" s="4">
        <v>679983.46739466512</v>
      </c>
      <c r="AJ98" s="4">
        <v>-5209.377394665149</v>
      </c>
      <c r="AS98" s="9"/>
      <c r="AT98" s="9"/>
      <c r="AU98" s="9"/>
    </row>
    <row r="99" spans="1:47">
      <c r="A99" s="4">
        <v>73</v>
      </c>
      <c r="B99" s="4">
        <v>659166.83476406534</v>
      </c>
      <c r="C99" s="4">
        <v>-43097.424764065305</v>
      </c>
      <c r="L99" s="4">
        <v>73</v>
      </c>
      <c r="M99" s="4">
        <v>657553.17082183971</v>
      </c>
      <c r="N99" s="4">
        <v>-41483.760821839678</v>
      </c>
      <c r="W99" s="4">
        <v>73</v>
      </c>
      <c r="X99" s="4">
        <v>659407.29363010323</v>
      </c>
      <c r="Y99" s="4">
        <v>-43337.883630103199</v>
      </c>
      <c r="AH99" s="4">
        <v>73</v>
      </c>
      <c r="AI99" s="4">
        <v>659579.41353747505</v>
      </c>
      <c r="AJ99" s="4">
        <v>-43510.003537475015</v>
      </c>
      <c r="AS99" s="9"/>
      <c r="AT99" s="9"/>
      <c r="AU99" s="9"/>
    </row>
    <row r="100" spans="1:47">
      <c r="A100" s="4">
        <v>74</v>
      </c>
      <c r="B100" s="4">
        <v>675269.53342062281</v>
      </c>
      <c r="C100" s="4">
        <v>-44439.59342062287</v>
      </c>
      <c r="L100" s="4">
        <v>74</v>
      </c>
      <c r="M100" s="4">
        <v>689770.43288043397</v>
      </c>
      <c r="N100" s="4">
        <v>-58940.492880434031</v>
      </c>
      <c r="W100" s="4">
        <v>74</v>
      </c>
      <c r="X100" s="4">
        <v>688679.41957525967</v>
      </c>
      <c r="Y100" s="4">
        <v>-57849.479575259727</v>
      </c>
      <c r="AH100" s="4">
        <v>74</v>
      </c>
      <c r="AI100" s="4">
        <v>694621.15820525796</v>
      </c>
      <c r="AJ100" s="4">
        <v>-63791.218205258017</v>
      </c>
      <c r="AS100" s="9"/>
      <c r="AT100" s="9"/>
      <c r="AU100" s="9"/>
    </row>
    <row r="101" spans="1:47">
      <c r="A101" s="4">
        <v>75</v>
      </c>
      <c r="B101" s="4">
        <v>710155.93829665345</v>
      </c>
      <c r="C101" s="4">
        <v>77931.741703346604</v>
      </c>
      <c r="L101" s="4">
        <v>75</v>
      </c>
      <c r="M101" s="4">
        <v>689235.26241434435</v>
      </c>
      <c r="N101" s="4">
        <v>98852.417585655698</v>
      </c>
      <c r="W101" s="4">
        <v>75</v>
      </c>
      <c r="X101" s="4">
        <v>673141.60864702496</v>
      </c>
      <c r="Y101" s="4">
        <v>114946.07135297509</v>
      </c>
      <c r="AH101" s="4">
        <v>75</v>
      </c>
      <c r="AI101" s="4">
        <v>691294.41029375955</v>
      </c>
      <c r="AJ101" s="4">
        <v>96793.269706240506</v>
      </c>
      <c r="AS101" s="9"/>
      <c r="AT101" s="9"/>
      <c r="AU101" s="9"/>
    </row>
    <row r="102" spans="1:47">
      <c r="A102" s="4">
        <v>76</v>
      </c>
      <c r="B102" s="4">
        <v>685889.10800246825</v>
      </c>
      <c r="C102" s="4">
        <v>-5048.7480024682591</v>
      </c>
      <c r="L102" s="4">
        <v>76</v>
      </c>
      <c r="M102" s="4">
        <v>740825.69534538244</v>
      </c>
      <c r="N102" s="4">
        <v>-59985.335345382453</v>
      </c>
      <c r="W102" s="4">
        <v>76</v>
      </c>
      <c r="X102" s="4">
        <v>669673.34727911546</v>
      </c>
      <c r="Y102" s="4">
        <v>11167.012720884522</v>
      </c>
      <c r="AH102" s="4">
        <v>76</v>
      </c>
      <c r="AI102" s="4">
        <v>673773.53795986809</v>
      </c>
      <c r="AJ102" s="4">
        <v>7066.8220401318977</v>
      </c>
      <c r="AS102" s="9"/>
      <c r="AT102" s="9"/>
      <c r="AU102" s="9"/>
    </row>
    <row r="103" spans="1:47">
      <c r="A103" s="4">
        <v>77</v>
      </c>
      <c r="B103" s="4">
        <v>682106.02391177125</v>
      </c>
      <c r="C103" s="4">
        <v>-38448.553911771276</v>
      </c>
      <c r="L103" s="4">
        <v>77</v>
      </c>
      <c r="M103" s="4">
        <v>684097.62593988422</v>
      </c>
      <c r="N103" s="4">
        <v>-40440.155939884251</v>
      </c>
      <c r="W103" s="4">
        <v>77</v>
      </c>
      <c r="X103" s="4">
        <v>683962.58411490265</v>
      </c>
      <c r="Y103" s="4">
        <v>-40305.114114902681</v>
      </c>
      <c r="AH103" s="4">
        <v>77</v>
      </c>
      <c r="AI103" s="4">
        <v>657139.79840237624</v>
      </c>
      <c r="AJ103" s="4">
        <v>-13482.328402376268</v>
      </c>
      <c r="AS103" s="9"/>
      <c r="AT103" s="9"/>
      <c r="AU103" s="9"/>
    </row>
    <row r="104" spans="1:47">
      <c r="A104" s="4">
        <v>78</v>
      </c>
      <c r="B104" s="4">
        <v>677633.14907671465</v>
      </c>
      <c r="C104" s="4">
        <v>13479.450923285331</v>
      </c>
      <c r="L104" s="4">
        <v>78</v>
      </c>
      <c r="M104" s="4">
        <v>659123.00418903586</v>
      </c>
      <c r="N104" s="4">
        <v>31989.595810964121</v>
      </c>
      <c r="W104" s="4">
        <v>78</v>
      </c>
      <c r="X104" s="4">
        <v>688956.8804846924</v>
      </c>
      <c r="Y104" s="4">
        <v>2155.7195153075736</v>
      </c>
      <c r="AH104" s="4">
        <v>78</v>
      </c>
      <c r="AI104" s="4">
        <v>674217.10434806789</v>
      </c>
      <c r="AJ104" s="4">
        <v>16895.495651932084</v>
      </c>
      <c r="AS104" s="9"/>
      <c r="AT104" s="9"/>
      <c r="AU104" s="9"/>
    </row>
    <row r="105" spans="1:47">
      <c r="A105" s="4">
        <v>79</v>
      </c>
      <c r="B105" s="4">
        <v>732341.91794674413</v>
      </c>
      <c r="C105" s="4">
        <v>44580.252053255914</v>
      </c>
      <c r="L105" s="4">
        <v>79</v>
      </c>
      <c r="M105" s="4">
        <v>712925.47504657763</v>
      </c>
      <c r="N105" s="4">
        <v>63996.694953422411</v>
      </c>
      <c r="W105" s="4">
        <v>79</v>
      </c>
      <c r="X105" s="4">
        <v>673973.99137532327</v>
      </c>
      <c r="Y105" s="4">
        <v>102948.17862467677</v>
      </c>
      <c r="AH105" s="4">
        <v>79</v>
      </c>
      <c r="AI105" s="4">
        <v>670003.22366016987</v>
      </c>
      <c r="AJ105" s="4">
        <v>106918.94633983017</v>
      </c>
      <c r="AS105" s="9"/>
      <c r="AT105" s="9"/>
      <c r="AU105" s="9"/>
    </row>
    <row r="106" spans="1:47">
      <c r="A106" s="4">
        <v>80</v>
      </c>
      <c r="B106" s="4">
        <v>726884.00804391084</v>
      </c>
      <c r="C106" s="4">
        <v>-90322.668043910875</v>
      </c>
      <c r="L106" s="4">
        <v>80</v>
      </c>
      <c r="M106" s="4">
        <v>659551.14056190755</v>
      </c>
      <c r="N106" s="4">
        <v>-22989.800561907585</v>
      </c>
      <c r="W106" s="4">
        <v>80</v>
      </c>
      <c r="X106" s="4">
        <v>662875.55499801284</v>
      </c>
      <c r="Y106" s="4">
        <v>-26314.214998012874</v>
      </c>
      <c r="AH106" s="4">
        <v>80</v>
      </c>
      <c r="AI106" s="4">
        <v>665123.99338997225</v>
      </c>
      <c r="AJ106" s="4">
        <v>-28562.653389972285</v>
      </c>
      <c r="AS106" s="9"/>
      <c r="AT106" s="9"/>
      <c r="AU106" s="9"/>
    </row>
    <row r="107" spans="1:47">
      <c r="A107" s="4">
        <v>81</v>
      </c>
      <c r="B107" s="4">
        <v>690428.04226418666</v>
      </c>
      <c r="C107" s="4">
        <v>-69058.462264186703</v>
      </c>
      <c r="L107" s="4">
        <v>81</v>
      </c>
      <c r="M107" s="4">
        <v>639428.73103693826</v>
      </c>
      <c r="N107" s="4">
        <v>-18059.151036938303</v>
      </c>
      <c r="W107" s="4">
        <v>81</v>
      </c>
      <c r="X107" s="4">
        <v>673002.87819230859</v>
      </c>
      <c r="Y107" s="4">
        <v>-51633.298192308634</v>
      </c>
      <c r="AH107" s="4">
        <v>81</v>
      </c>
      <c r="AI107" s="4">
        <v>670890.35643656948</v>
      </c>
      <c r="AJ107" s="4">
        <v>-49520.776436569518</v>
      </c>
      <c r="AS107" s="9"/>
      <c r="AT107" s="9"/>
      <c r="AU107" s="9"/>
    </row>
    <row r="108" spans="1:47">
      <c r="A108" s="4">
        <v>82</v>
      </c>
      <c r="B108" s="4">
        <v>689890.04764917761</v>
      </c>
      <c r="C108" s="4">
        <v>-7682.0376491775969</v>
      </c>
      <c r="L108" s="4">
        <v>82</v>
      </c>
      <c r="M108" s="4">
        <v>605213.49923827616</v>
      </c>
      <c r="N108" s="4">
        <v>76994.510761723854</v>
      </c>
      <c r="W108" s="4">
        <v>82</v>
      </c>
      <c r="X108" s="4">
        <v>684656.2363884846</v>
      </c>
      <c r="Y108" s="4">
        <v>-2448.2263884845888</v>
      </c>
      <c r="AH108" s="4">
        <v>82</v>
      </c>
      <c r="AI108" s="4">
        <v>683531.99850026332</v>
      </c>
      <c r="AJ108" s="4">
        <v>-1323.9885002633091</v>
      </c>
      <c r="AS108" s="9"/>
      <c r="AT108" s="9"/>
      <c r="AU108" s="9"/>
    </row>
    <row r="109" spans="1:47">
      <c r="A109" s="4">
        <v>83</v>
      </c>
      <c r="B109" s="4">
        <v>715663.78674091864</v>
      </c>
      <c r="C109" s="4">
        <v>11578.073259081342</v>
      </c>
      <c r="L109" s="4">
        <v>83</v>
      </c>
      <c r="M109" s="4">
        <v>612099.35923529579</v>
      </c>
      <c r="N109" s="4">
        <v>115142.50076470419</v>
      </c>
      <c r="W109" s="4">
        <v>83</v>
      </c>
      <c r="X109" s="4">
        <v>686182.27139036474</v>
      </c>
      <c r="Y109" s="4">
        <v>41059.588609635248</v>
      </c>
      <c r="AH109" s="4">
        <v>83</v>
      </c>
      <c r="AI109" s="4">
        <v>677987.418647766</v>
      </c>
      <c r="AJ109" s="4">
        <v>49254.441352233989</v>
      </c>
      <c r="AS109" s="9"/>
      <c r="AT109" s="9"/>
      <c r="AU109" s="9"/>
    </row>
    <row r="110" spans="1:47">
      <c r="A110" s="4">
        <v>84</v>
      </c>
      <c r="B110" s="4">
        <v>638455.11752175866</v>
      </c>
      <c r="C110" s="4">
        <v>-69354.337521758629</v>
      </c>
      <c r="L110" s="4">
        <v>84</v>
      </c>
      <c r="M110" s="4">
        <v>573388.69552148087</v>
      </c>
      <c r="N110" s="4">
        <v>-4287.9155214808416</v>
      </c>
      <c r="W110" s="4">
        <v>84</v>
      </c>
      <c r="X110" s="4">
        <v>693673.71594504931</v>
      </c>
      <c r="Y110" s="4">
        <v>-124572.93594504928</v>
      </c>
      <c r="AH110" s="4">
        <v>84</v>
      </c>
      <c r="AI110" s="4">
        <v>670225.00685426989</v>
      </c>
      <c r="AJ110" s="4">
        <v>-101124.22685426986</v>
      </c>
      <c r="AS110" s="9"/>
      <c r="AT110" s="9"/>
      <c r="AU110" s="9"/>
    </row>
    <row r="111" spans="1:47">
      <c r="A111" s="4">
        <v>85</v>
      </c>
      <c r="B111" s="4">
        <v>678730.49794726842</v>
      </c>
      <c r="C111" s="4">
        <v>-104294.20794726838</v>
      </c>
      <c r="L111" s="4">
        <v>85</v>
      </c>
      <c r="M111" s="4">
        <v>556691.37697948515</v>
      </c>
      <c r="N111" s="4">
        <v>17744.913020514883</v>
      </c>
      <c r="W111" s="4">
        <v>85</v>
      </c>
      <c r="X111" s="4">
        <v>682852.74047717161</v>
      </c>
      <c r="Y111" s="4">
        <v>-108416.45047717157</v>
      </c>
      <c r="AH111" s="4">
        <v>85</v>
      </c>
      <c r="AI111" s="4">
        <v>674217.10434806789</v>
      </c>
      <c r="AJ111" s="4">
        <v>-99780.814348067855</v>
      </c>
      <c r="AS111" s="9"/>
      <c r="AT111" s="9"/>
      <c r="AU111" s="9"/>
    </row>
    <row r="112" spans="1:47">
      <c r="A112" s="4">
        <v>86</v>
      </c>
      <c r="B112" s="4">
        <v>749125.01592046651</v>
      </c>
      <c r="C112" s="4">
        <v>-137358.29592046654</v>
      </c>
      <c r="L112" s="4">
        <v>86</v>
      </c>
      <c r="M112" s="4">
        <v>589265.41934880579</v>
      </c>
      <c r="N112" s="4">
        <v>22501.300651194178</v>
      </c>
      <c r="W112" s="4">
        <v>86</v>
      </c>
      <c r="X112" s="4">
        <v>669257.15591496637</v>
      </c>
      <c r="Y112" s="4">
        <v>-57490.435914966394</v>
      </c>
      <c r="AH112" s="4">
        <v>86</v>
      </c>
      <c r="AI112" s="4">
        <v>688633.01196456084</v>
      </c>
      <c r="AJ112" s="4">
        <v>-76866.291964560864</v>
      </c>
      <c r="AS112" s="9"/>
      <c r="AT112" s="9"/>
      <c r="AU112" s="9"/>
    </row>
    <row r="113" spans="1:47">
      <c r="A113" s="4">
        <v>87</v>
      </c>
      <c r="B113" s="4">
        <v>727378.09081566497</v>
      </c>
      <c r="C113" s="4">
        <v>-112781.77081566502</v>
      </c>
      <c r="L113" s="4">
        <v>87</v>
      </c>
      <c r="M113" s="4">
        <v>581558.96463711548</v>
      </c>
      <c r="N113" s="4">
        <v>33037.355362884467</v>
      </c>
      <c r="W113" s="4">
        <v>87</v>
      </c>
      <c r="X113" s="4">
        <v>689650.53275827423</v>
      </c>
      <c r="Y113" s="4">
        <v>-75054.212758274283</v>
      </c>
      <c r="AH113" s="4">
        <v>87</v>
      </c>
      <c r="AI113" s="4">
        <v>681092.38336516451</v>
      </c>
      <c r="AJ113" s="4">
        <v>-66496.063365164562</v>
      </c>
      <c r="AS113" s="9"/>
      <c r="AT113" s="9"/>
      <c r="AU113" s="9"/>
    </row>
    <row r="114" spans="1:47">
      <c r="A114" s="4">
        <v>88</v>
      </c>
      <c r="B114" s="4">
        <v>601231.43983643828</v>
      </c>
      <c r="C114" s="4">
        <v>-150519.5198364383</v>
      </c>
      <c r="L114" s="4">
        <v>88</v>
      </c>
      <c r="M114" s="4">
        <v>491364.9020854804</v>
      </c>
      <c r="N114" s="4">
        <v>-40652.982085480413</v>
      </c>
      <c r="W114" s="4">
        <v>88</v>
      </c>
      <c r="X114" s="4">
        <v>677719.71365266549</v>
      </c>
      <c r="Y114" s="4">
        <v>-227007.79365266551</v>
      </c>
      <c r="AH114" s="4">
        <v>88</v>
      </c>
      <c r="AI114" s="4">
        <v>676434.9362890668</v>
      </c>
      <c r="AJ114" s="4">
        <v>-225723.01628906681</v>
      </c>
      <c r="AS114" s="9"/>
      <c r="AT114" s="9"/>
      <c r="AU114" s="9"/>
    </row>
    <row r="115" spans="1:47">
      <c r="A115" s="4">
        <v>89</v>
      </c>
      <c r="B115" s="4">
        <v>668359.10407410027</v>
      </c>
      <c r="C115" s="4">
        <v>42854.355925899697</v>
      </c>
      <c r="L115" s="4">
        <v>89</v>
      </c>
      <c r="M115" s="4">
        <v>697013.07318817999</v>
      </c>
      <c r="N115" s="4">
        <v>14200.386811819975</v>
      </c>
      <c r="W115" s="4">
        <v>89</v>
      </c>
      <c r="X115" s="4">
        <v>693812.44639976567</v>
      </c>
      <c r="Y115" s="4">
        <v>17401.013600234292</v>
      </c>
      <c r="AH115" s="4">
        <v>89</v>
      </c>
      <c r="AI115" s="4">
        <v>660466.54631387466</v>
      </c>
      <c r="AJ115" s="4">
        <v>50746.913686125306</v>
      </c>
      <c r="AS115" s="9"/>
      <c r="AT115" s="9"/>
      <c r="AU115" s="9"/>
    </row>
    <row r="116" spans="1:47">
      <c r="A116" s="4">
        <v>90</v>
      </c>
      <c r="B116" s="4">
        <v>862198.05489334627</v>
      </c>
      <c r="C116" s="4">
        <v>-235026.15489334625</v>
      </c>
      <c r="L116" s="4">
        <v>90</v>
      </c>
      <c r="M116" s="4">
        <v>639071.95072621189</v>
      </c>
      <c r="N116" s="4">
        <v>-11900.050726211863</v>
      </c>
      <c r="W116" s="4">
        <v>90</v>
      </c>
      <c r="X116" s="4">
        <v>696032.13367522776</v>
      </c>
      <c r="Y116" s="4">
        <v>-68860.233675227733</v>
      </c>
      <c r="AH116" s="4">
        <v>90</v>
      </c>
      <c r="AI116" s="4">
        <v>677765.63545366609</v>
      </c>
      <c r="AJ116" s="4">
        <v>-50593.735453666071</v>
      </c>
      <c r="AS116" s="9"/>
      <c r="AT116" s="9"/>
      <c r="AU116" s="9"/>
    </row>
    <row r="117" spans="1:47">
      <c r="A117" s="4">
        <v>91</v>
      </c>
      <c r="B117" s="4">
        <v>735649.95766911563</v>
      </c>
      <c r="C117" s="4">
        <v>4202.6223308843328</v>
      </c>
      <c r="L117" s="4">
        <v>91</v>
      </c>
      <c r="M117" s="4">
        <v>660050.63299692445</v>
      </c>
      <c r="N117" s="4">
        <v>79801.947003075504</v>
      </c>
      <c r="W117" s="4">
        <v>91</v>
      </c>
      <c r="X117" s="4">
        <v>692286.41139788553</v>
      </c>
      <c r="Y117" s="4">
        <v>47566.168602114427</v>
      </c>
      <c r="AH117" s="4">
        <v>91</v>
      </c>
      <c r="AI117" s="4">
        <v>688411.22877046093</v>
      </c>
      <c r="AJ117" s="4">
        <v>51441.351229539025</v>
      </c>
      <c r="AS117" s="9"/>
      <c r="AT117" s="9"/>
      <c r="AU117" s="9"/>
    </row>
    <row r="118" spans="1:47">
      <c r="A118" s="4">
        <v>92</v>
      </c>
      <c r="B118" s="4">
        <v>627236.08878094982</v>
      </c>
      <c r="C118" s="4">
        <v>-40928.868780949851</v>
      </c>
      <c r="L118" s="4">
        <v>92</v>
      </c>
      <c r="M118" s="4">
        <v>578454.97593379579</v>
      </c>
      <c r="N118" s="4">
        <v>7852.2440662041772</v>
      </c>
      <c r="W118" s="4">
        <v>92</v>
      </c>
      <c r="X118" s="4">
        <v>691870.22003373632</v>
      </c>
      <c r="Y118" s="4">
        <v>-105563.00003373635</v>
      </c>
      <c r="AH118" s="4">
        <v>92</v>
      </c>
      <c r="AI118" s="4">
        <v>672664.62198936869</v>
      </c>
      <c r="AJ118" s="4">
        <v>-86357.401989368722</v>
      </c>
      <c r="AS118" s="9"/>
      <c r="AT118" s="9"/>
      <c r="AU118" s="9"/>
    </row>
    <row r="119" spans="1:47">
      <c r="A119" s="4">
        <v>93</v>
      </c>
      <c r="B119" s="4">
        <v>643759.63411374553</v>
      </c>
      <c r="C119" s="4">
        <v>-57822.15411374555</v>
      </c>
      <c r="L119" s="4">
        <v>93</v>
      </c>
      <c r="M119" s="4">
        <v>607282.8250404892</v>
      </c>
      <c r="N119" s="4">
        <v>-21345.345040489221</v>
      </c>
      <c r="W119" s="4">
        <v>93</v>
      </c>
      <c r="X119" s="4">
        <v>670921.92137156287</v>
      </c>
      <c r="Y119" s="4">
        <v>-84984.441371562891</v>
      </c>
      <c r="AH119" s="4">
        <v>93</v>
      </c>
      <c r="AI119" s="4">
        <v>686858.74641176173</v>
      </c>
      <c r="AJ119" s="4">
        <v>-100921.26641176175</v>
      </c>
      <c r="AS119" s="9"/>
      <c r="AT119" s="9"/>
      <c r="AU119" s="9"/>
    </row>
    <row r="120" spans="1:47">
      <c r="A120" s="4">
        <v>94</v>
      </c>
      <c r="B120" s="4">
        <v>704394.41483936575</v>
      </c>
      <c r="C120" s="4">
        <v>49079.135160634294</v>
      </c>
      <c r="L120" s="4">
        <v>94</v>
      </c>
      <c r="M120" s="4">
        <v>677497.19019144564</v>
      </c>
      <c r="N120" s="4">
        <v>75976.359808554407</v>
      </c>
      <c r="W120" s="4">
        <v>94</v>
      </c>
      <c r="X120" s="4">
        <v>697835.62958654074</v>
      </c>
      <c r="Y120" s="4">
        <v>55637.920413459302</v>
      </c>
      <c r="AH120" s="4">
        <v>94</v>
      </c>
      <c r="AI120" s="4">
        <v>686415.18002356193</v>
      </c>
      <c r="AJ120" s="4">
        <v>67058.369976438116</v>
      </c>
      <c r="AS120" s="9"/>
      <c r="AT120" s="9"/>
      <c r="AU120" s="9"/>
    </row>
    <row r="121" spans="1:47">
      <c r="A121" s="4">
        <v>95</v>
      </c>
      <c r="B121" s="4">
        <v>744819.24886136584</v>
      </c>
      <c r="C121" s="4">
        <v>93431.071138634114</v>
      </c>
      <c r="L121" s="4">
        <v>95</v>
      </c>
      <c r="M121" s="4">
        <v>730764.49058289791</v>
      </c>
      <c r="N121" s="4">
        <v>107485.82941710204</v>
      </c>
      <c r="W121" s="4">
        <v>95</v>
      </c>
      <c r="X121" s="4">
        <v>687708.30639224499</v>
      </c>
      <c r="Y121" s="4">
        <v>150542.01360775495</v>
      </c>
      <c r="AH121" s="4">
        <v>95</v>
      </c>
      <c r="AI121" s="4">
        <v>687302.31279996154</v>
      </c>
      <c r="AJ121" s="4">
        <v>150948.00720003841</v>
      </c>
      <c r="AS121" s="9"/>
      <c r="AT121" s="9"/>
      <c r="AU121" s="9"/>
    </row>
    <row r="122" spans="1:47">
      <c r="A122" s="4">
        <v>96</v>
      </c>
      <c r="B122" s="4">
        <v>581082.10084664135</v>
      </c>
      <c r="C122" s="4">
        <v>26816.019153358648</v>
      </c>
      <c r="L122" s="4">
        <v>96</v>
      </c>
      <c r="M122" s="4">
        <v>662512.41714093671</v>
      </c>
      <c r="N122" s="4">
        <v>-54614.297140936716</v>
      </c>
      <c r="W122" s="4">
        <v>96</v>
      </c>
      <c r="X122" s="4">
        <v>687569.57593752863</v>
      </c>
      <c r="Y122" s="4">
        <v>-79671.455937528634</v>
      </c>
      <c r="AH122" s="4">
        <v>96</v>
      </c>
      <c r="AI122" s="4">
        <v>693512.24223475845</v>
      </c>
      <c r="AJ122" s="4">
        <v>-85614.122234758455</v>
      </c>
      <c r="AS122" s="9"/>
      <c r="AT122" s="9"/>
      <c r="AU122" s="9"/>
    </row>
    <row r="123" spans="1:47">
      <c r="A123" s="4">
        <v>97</v>
      </c>
      <c r="B123" s="4">
        <v>690962.69344593131</v>
      </c>
      <c r="C123" s="4">
        <v>150.92655406869017</v>
      </c>
      <c r="L123" s="4">
        <v>97</v>
      </c>
      <c r="M123" s="4">
        <v>674535.91361241648</v>
      </c>
      <c r="N123" s="4">
        <v>16577.706387583516</v>
      </c>
      <c r="W123" s="4">
        <v>97</v>
      </c>
      <c r="X123" s="4">
        <v>675222.56546777068</v>
      </c>
      <c r="Y123" s="4">
        <v>15891.054532229318</v>
      </c>
      <c r="AH123" s="4">
        <v>97</v>
      </c>
      <c r="AI123" s="4">
        <v>686636.96321766183</v>
      </c>
      <c r="AJ123" s="4">
        <v>4476.6567823381629</v>
      </c>
      <c r="AS123" s="9"/>
      <c r="AT123" s="9"/>
      <c r="AU123" s="9"/>
    </row>
    <row r="124" spans="1:47">
      <c r="A124" s="4">
        <v>98</v>
      </c>
      <c r="B124" s="4">
        <v>728671.76523566921</v>
      </c>
      <c r="C124" s="4">
        <v>6837.6347643308109</v>
      </c>
      <c r="L124" s="4">
        <v>98</v>
      </c>
      <c r="M124" s="4">
        <v>630152.4429580518</v>
      </c>
      <c r="N124" s="4">
        <v>105356.95704194822</v>
      </c>
      <c r="W124" s="4">
        <v>98</v>
      </c>
      <c r="X124" s="4">
        <v>674112.72183003963</v>
      </c>
      <c r="Y124" s="4">
        <v>61396.678169960389</v>
      </c>
      <c r="AH124" s="4">
        <v>98</v>
      </c>
      <c r="AI124" s="4">
        <v>675104.2371244675</v>
      </c>
      <c r="AJ124" s="4">
        <v>60405.162875532522</v>
      </c>
      <c r="AS124" s="9"/>
      <c r="AT124" s="9"/>
      <c r="AU124" s="9"/>
    </row>
    <row r="125" spans="1:47">
      <c r="A125" s="4">
        <v>99</v>
      </c>
      <c r="B125" s="4">
        <v>643304.35220446019</v>
      </c>
      <c r="C125" s="4">
        <v>-37529.022204460227</v>
      </c>
      <c r="L125" s="4">
        <v>99</v>
      </c>
      <c r="M125" s="4">
        <v>614525.46534823533</v>
      </c>
      <c r="N125" s="4">
        <v>-8750.1353482353734</v>
      </c>
      <c r="W125" s="4">
        <v>99</v>
      </c>
      <c r="X125" s="4">
        <v>687430.84548281215</v>
      </c>
      <c r="Y125" s="4">
        <v>-81655.515482812189</v>
      </c>
      <c r="AH125" s="4">
        <v>99</v>
      </c>
      <c r="AI125" s="4">
        <v>683753.78169436322</v>
      </c>
      <c r="AJ125" s="4">
        <v>-77978.451694363263</v>
      </c>
      <c r="AS125" s="9"/>
      <c r="AT125" s="9"/>
      <c r="AU125" s="9"/>
    </row>
    <row r="126" spans="1:47">
      <c r="A126" s="4">
        <v>100</v>
      </c>
      <c r="B126" s="4">
        <v>678119.2885324969</v>
      </c>
      <c r="C126" s="4">
        <v>-2941.6085324968444</v>
      </c>
      <c r="L126" s="4">
        <v>100</v>
      </c>
      <c r="M126" s="4">
        <v>634826.26502856775</v>
      </c>
      <c r="N126" s="4">
        <v>40351.414971432299</v>
      </c>
      <c r="W126" s="4">
        <v>100</v>
      </c>
      <c r="X126" s="4">
        <v>671615.57364514482</v>
      </c>
      <c r="Y126" s="4">
        <v>3562.1063548552338</v>
      </c>
      <c r="AH126" s="4">
        <v>100</v>
      </c>
      <c r="AI126" s="4">
        <v>686636.96321766183</v>
      </c>
      <c r="AJ126" s="4">
        <v>-11459.283217661781</v>
      </c>
      <c r="AS126" s="9"/>
      <c r="AT126" s="9"/>
      <c r="AU126" s="9"/>
    </row>
    <row r="127" spans="1:47">
      <c r="A127" s="4">
        <v>101</v>
      </c>
      <c r="B127" s="4">
        <v>673825.3406164645</v>
      </c>
      <c r="C127" s="4">
        <v>-38643.990616464522</v>
      </c>
      <c r="L127" s="4">
        <v>101</v>
      </c>
      <c r="M127" s="4">
        <v>576349.97210051003</v>
      </c>
      <c r="N127" s="4">
        <v>58831.377899489948</v>
      </c>
      <c r="W127" s="4">
        <v>101</v>
      </c>
      <c r="X127" s="4">
        <v>677026.06137908367</v>
      </c>
      <c r="Y127" s="4">
        <v>-41844.711379083688</v>
      </c>
      <c r="AH127" s="4">
        <v>101</v>
      </c>
      <c r="AI127" s="4">
        <v>687524.09599406144</v>
      </c>
      <c r="AJ127" s="4">
        <v>-52342.745994061464</v>
      </c>
      <c r="AS127" s="9"/>
      <c r="AT127" s="9"/>
      <c r="AU127" s="9"/>
    </row>
    <row r="128" spans="1:47">
      <c r="A128" s="4">
        <v>102</v>
      </c>
      <c r="B128" s="4">
        <v>695156.93464512611</v>
      </c>
      <c r="C128" s="4">
        <v>-108529.99464512616</v>
      </c>
      <c r="L128" s="4">
        <v>102</v>
      </c>
      <c r="M128" s="4">
        <v>602430.61281461013</v>
      </c>
      <c r="N128" s="4">
        <v>-15803.672814610181</v>
      </c>
      <c r="W128" s="4">
        <v>102</v>
      </c>
      <c r="X128" s="4">
        <v>673835.2609206069</v>
      </c>
      <c r="Y128" s="4">
        <v>-87208.320920606959</v>
      </c>
      <c r="AH128" s="4">
        <v>102</v>
      </c>
      <c r="AI128" s="4">
        <v>685306.26405306254</v>
      </c>
      <c r="AJ128" s="4">
        <v>-98679.324053062592</v>
      </c>
      <c r="AS128" s="9"/>
      <c r="AT128" s="9"/>
      <c r="AU128" s="9"/>
    </row>
    <row r="129" spans="1:47">
      <c r="A129" s="4">
        <v>103</v>
      </c>
      <c r="B129" s="4">
        <v>752618.8610901701</v>
      </c>
      <c r="C129" s="4">
        <v>-12516.221090170089</v>
      </c>
      <c r="L129" s="4">
        <v>103</v>
      </c>
      <c r="M129" s="4">
        <v>690162.89122223307</v>
      </c>
      <c r="N129" s="4">
        <v>49939.748777766945</v>
      </c>
      <c r="W129" s="4">
        <v>103</v>
      </c>
      <c r="X129" s="4">
        <v>672170.49546401028</v>
      </c>
      <c r="Y129" s="4">
        <v>67932.144535989733</v>
      </c>
      <c r="AH129" s="4">
        <v>103</v>
      </c>
      <c r="AI129" s="4">
        <v>663349.72783717315</v>
      </c>
      <c r="AJ129" s="4">
        <v>76752.912162826862</v>
      </c>
      <c r="AS129" s="9"/>
      <c r="AT129" s="9"/>
      <c r="AU129" s="9"/>
    </row>
    <row r="130" spans="1:47">
      <c r="A130" s="4">
        <v>104</v>
      </c>
      <c r="B130" s="4">
        <v>629491.58589766012</v>
      </c>
      <c r="C130" s="4">
        <v>-3977.5458976600785</v>
      </c>
      <c r="L130" s="4">
        <v>104</v>
      </c>
      <c r="M130" s="4">
        <v>532537.34994330746</v>
      </c>
      <c r="N130" s="4">
        <v>92976.690056692576</v>
      </c>
      <c r="W130" s="4">
        <v>104</v>
      </c>
      <c r="X130" s="4">
        <v>686737.19320923032</v>
      </c>
      <c r="Y130" s="4">
        <v>-61223.15320923028</v>
      </c>
      <c r="AH130" s="4">
        <v>104</v>
      </c>
      <c r="AI130" s="4">
        <v>689076.57835276064</v>
      </c>
      <c r="AJ130" s="4">
        <v>-63562.538352760603</v>
      </c>
      <c r="AS130" s="9"/>
      <c r="AT130" s="9"/>
      <c r="AU130" s="9"/>
    </row>
    <row r="131" spans="1:47">
      <c r="A131" s="4">
        <v>105</v>
      </c>
      <c r="B131" s="4">
        <v>684120.36791838519</v>
      </c>
      <c r="C131" s="4">
        <v>43106.832081614761</v>
      </c>
      <c r="L131" s="4">
        <v>105</v>
      </c>
      <c r="M131" s="4">
        <v>709500.38406360417</v>
      </c>
      <c r="N131" s="4">
        <v>17726.815936395782</v>
      </c>
      <c r="W131" s="4">
        <v>105</v>
      </c>
      <c r="X131" s="4">
        <v>683546.39275075356</v>
      </c>
      <c r="Y131" s="4">
        <v>43680.807249246398</v>
      </c>
      <c r="AH131" s="4">
        <v>105</v>
      </c>
      <c r="AI131" s="4">
        <v>667341.82533097127</v>
      </c>
      <c r="AJ131" s="4">
        <v>59885.374669028679</v>
      </c>
      <c r="AS131" s="9"/>
      <c r="AT131" s="9"/>
      <c r="AU131" s="9"/>
    </row>
    <row r="132" spans="1:47">
      <c r="A132" s="4">
        <v>106</v>
      </c>
      <c r="B132" s="4">
        <v>719812.6466898825</v>
      </c>
      <c r="C132" s="4">
        <v>63985.243310117512</v>
      </c>
      <c r="L132" s="4">
        <v>106</v>
      </c>
      <c r="M132" s="4">
        <v>758200.89647775842</v>
      </c>
      <c r="N132" s="4">
        <v>25596.993522241595</v>
      </c>
      <c r="W132" s="4">
        <v>106</v>
      </c>
      <c r="X132" s="4">
        <v>690066.72412242345</v>
      </c>
      <c r="Y132" s="4">
        <v>93731.165877576568</v>
      </c>
      <c r="AH132" s="4">
        <v>106</v>
      </c>
      <c r="AI132" s="4">
        <v>688411.22877046093</v>
      </c>
      <c r="AJ132" s="4">
        <v>95386.661229539081</v>
      </c>
      <c r="AS132" s="9"/>
      <c r="AT132" s="9"/>
      <c r="AU132" s="9"/>
    </row>
    <row r="133" spans="1:47">
      <c r="A133" s="4">
        <v>107</v>
      </c>
      <c r="B133" s="4">
        <v>697696.75136382284</v>
      </c>
      <c r="C133" s="4">
        <v>97457.088636177126</v>
      </c>
      <c r="L133" s="4">
        <v>107</v>
      </c>
      <c r="M133" s="4">
        <v>695871.37619385554</v>
      </c>
      <c r="N133" s="4">
        <v>99282.463806144428</v>
      </c>
      <c r="W133" s="4">
        <v>107</v>
      </c>
      <c r="X133" s="4">
        <v>679384.47910926212</v>
      </c>
      <c r="Y133" s="4">
        <v>115769.36089073785</v>
      </c>
      <c r="AH133" s="4">
        <v>107</v>
      </c>
      <c r="AI133" s="4">
        <v>693512.24223475845</v>
      </c>
      <c r="AJ133" s="4">
        <v>101641.59776524152</v>
      </c>
      <c r="AS133" s="9"/>
      <c r="AT133" s="9"/>
      <c r="AU133" s="9"/>
    </row>
    <row r="134" spans="1:47">
      <c r="A134" s="4">
        <v>108</v>
      </c>
      <c r="B134" s="4">
        <v>626883.68665574025</v>
      </c>
      <c r="C134" s="4">
        <v>38711.25334425969</v>
      </c>
      <c r="L134" s="4">
        <v>108</v>
      </c>
      <c r="M134" s="4">
        <v>699974.34976720915</v>
      </c>
      <c r="N134" s="4">
        <v>-34379.409767209203</v>
      </c>
      <c r="W134" s="4">
        <v>108</v>
      </c>
      <c r="X134" s="4">
        <v>690760.37639600527</v>
      </c>
      <c r="Y134" s="4">
        <v>-25165.436396005331</v>
      </c>
      <c r="AH134" s="4">
        <v>108</v>
      </c>
      <c r="AI134" s="4">
        <v>677765.63545366609</v>
      </c>
      <c r="AJ134" s="4">
        <v>-12170.695453666151</v>
      </c>
      <c r="AS134" s="9"/>
      <c r="AT134" s="9"/>
      <c r="AU134" s="9"/>
    </row>
    <row r="135" spans="1:47">
      <c r="A135" s="4">
        <v>109</v>
      </c>
      <c r="B135" s="4">
        <v>721059.87507199205</v>
      </c>
      <c r="C135" s="4">
        <v>-11581.485071992036</v>
      </c>
      <c r="L135" s="4">
        <v>109</v>
      </c>
      <c r="M135" s="4">
        <v>695264.8496656206</v>
      </c>
      <c r="N135" s="4">
        <v>14213.540334379417</v>
      </c>
      <c r="W135" s="4">
        <v>109</v>
      </c>
      <c r="X135" s="4">
        <v>676054.94819606899</v>
      </c>
      <c r="Y135" s="4">
        <v>33423.441803931026</v>
      </c>
      <c r="AH135" s="4">
        <v>109</v>
      </c>
      <c r="AI135" s="4">
        <v>648490.2538324804</v>
      </c>
      <c r="AJ135" s="4">
        <v>60988.136167519609</v>
      </c>
      <c r="AS135" s="9"/>
      <c r="AT135" s="9"/>
      <c r="AU135" s="9"/>
    </row>
    <row r="136" spans="1:47">
      <c r="A136" s="4">
        <v>110</v>
      </c>
      <c r="B136" s="4">
        <v>708594.78921550396</v>
      </c>
      <c r="C136" s="4">
        <v>-44432.299215503968</v>
      </c>
      <c r="L136" s="4">
        <v>110</v>
      </c>
      <c r="M136" s="4">
        <v>642390.00761596742</v>
      </c>
      <c r="N136" s="4">
        <v>21772.48238403257</v>
      </c>
      <c r="W136" s="4">
        <v>110</v>
      </c>
      <c r="X136" s="4">
        <v>657326.33680935763</v>
      </c>
      <c r="Y136" s="4">
        <v>6836.1531906423625</v>
      </c>
      <c r="AH136" s="4">
        <v>110</v>
      </c>
      <c r="AI136" s="4">
        <v>676656.7194831667</v>
      </c>
      <c r="AJ136" s="4">
        <v>-12494.22948316671</v>
      </c>
      <c r="AS136" s="9"/>
      <c r="AT136" s="9"/>
      <c r="AU136" s="9"/>
    </row>
    <row r="137" spans="1:47">
      <c r="A137" s="4">
        <v>111</v>
      </c>
      <c r="B137" s="4">
        <v>669505.26281116251</v>
      </c>
      <c r="C137" s="4">
        <v>-36011.052811162546</v>
      </c>
      <c r="L137" s="4">
        <v>111</v>
      </c>
      <c r="M137" s="4">
        <v>649275.86761298706</v>
      </c>
      <c r="N137" s="4">
        <v>-15781.657612987095</v>
      </c>
      <c r="W137" s="4">
        <v>111</v>
      </c>
      <c r="X137" s="4">
        <v>685488.61911678291</v>
      </c>
      <c r="Y137" s="4">
        <v>-51994.409116782947</v>
      </c>
      <c r="AH137" s="4">
        <v>111</v>
      </c>
      <c r="AI137" s="4">
        <v>684197.34808256302</v>
      </c>
      <c r="AJ137" s="4">
        <v>-50703.138082563062</v>
      </c>
      <c r="AS137" s="9"/>
      <c r="AT137" s="9"/>
      <c r="AU137" s="9"/>
    </row>
    <row r="138" spans="1:47">
      <c r="A138" s="4">
        <v>112</v>
      </c>
      <c r="B138" s="4">
        <v>673129.50187817449</v>
      </c>
      <c r="C138" s="4">
        <v>40481.658121825545</v>
      </c>
      <c r="L138" s="4">
        <v>112</v>
      </c>
      <c r="M138" s="4">
        <v>591370.42318209168</v>
      </c>
      <c r="N138" s="4">
        <v>122240.73681790836</v>
      </c>
      <c r="W138" s="4">
        <v>112</v>
      </c>
      <c r="X138" s="4">
        <v>689927.99366770708</v>
      </c>
      <c r="Y138" s="4">
        <v>23683.166332292953</v>
      </c>
      <c r="AH138" s="4">
        <v>112</v>
      </c>
      <c r="AI138" s="4">
        <v>688189.44557636115</v>
      </c>
      <c r="AJ138" s="4">
        <v>25421.714423638885</v>
      </c>
      <c r="AS138" s="9"/>
      <c r="AT138" s="9"/>
      <c r="AU138" s="9"/>
    </row>
    <row r="139" spans="1:47">
      <c r="A139" s="4">
        <v>113</v>
      </c>
      <c r="B139" s="4">
        <v>691588.72470498295</v>
      </c>
      <c r="C139" s="4">
        <v>86809.245295017026</v>
      </c>
      <c r="L139" s="4">
        <v>113</v>
      </c>
      <c r="M139" s="4">
        <v>766299.80953124771</v>
      </c>
      <c r="N139" s="4">
        <v>12098.160468752263</v>
      </c>
      <c r="W139" s="4">
        <v>113</v>
      </c>
      <c r="X139" s="4">
        <v>673835.2609206069</v>
      </c>
      <c r="Y139" s="4">
        <v>104562.70907939307</v>
      </c>
      <c r="AH139" s="4">
        <v>113</v>
      </c>
      <c r="AI139" s="4">
        <v>654256.61687907763</v>
      </c>
      <c r="AJ139" s="4">
        <v>124141.35312092234</v>
      </c>
      <c r="AS139" s="9"/>
      <c r="AT139" s="9"/>
      <c r="AU139" s="9"/>
    </row>
    <row r="140" spans="1:47">
      <c r="A140" s="4">
        <v>114</v>
      </c>
      <c r="B140" s="4">
        <v>731518.90096989041</v>
      </c>
      <c r="C140" s="4">
        <v>141861.11903010961</v>
      </c>
      <c r="L140" s="4">
        <v>114</v>
      </c>
      <c r="M140" s="4">
        <v>784959.41978223878</v>
      </c>
      <c r="N140" s="4">
        <v>88420.600217761239</v>
      </c>
      <c r="W140" s="4">
        <v>114</v>
      </c>
      <c r="X140" s="4">
        <v>678135.90501681471</v>
      </c>
      <c r="Y140" s="4">
        <v>195244.11498318531</v>
      </c>
      <c r="AH140" s="4">
        <v>114</v>
      </c>
      <c r="AI140" s="4">
        <v>693955.80862295826</v>
      </c>
      <c r="AJ140" s="4">
        <v>179424.21137704176</v>
      </c>
      <c r="AS140" s="9"/>
      <c r="AT140" s="9"/>
      <c r="AU140" s="9"/>
    </row>
    <row r="141" spans="1:47">
      <c r="A141" s="4">
        <v>115</v>
      </c>
      <c r="B141" s="4">
        <v>632342.10765665222</v>
      </c>
      <c r="C141" s="4">
        <v>64945.792343347799</v>
      </c>
      <c r="L141" s="4">
        <v>115</v>
      </c>
      <c r="M141" s="4">
        <v>775540.41957906168</v>
      </c>
      <c r="N141" s="4">
        <v>-78252.519579061656</v>
      </c>
      <c r="W141" s="4">
        <v>115</v>
      </c>
      <c r="X141" s="4">
        <v>675777.48728663626</v>
      </c>
      <c r="Y141" s="4">
        <v>21510.412713363767</v>
      </c>
      <c r="AH141" s="4">
        <v>115</v>
      </c>
      <c r="AI141" s="4">
        <v>680870.60017106473</v>
      </c>
      <c r="AJ141" s="4">
        <v>16417.299828935298</v>
      </c>
      <c r="AS141" s="9"/>
      <c r="AT141" s="9"/>
      <c r="AU141" s="9"/>
    </row>
    <row r="142" spans="1:47">
      <c r="A142" s="4">
        <v>116</v>
      </c>
      <c r="B142" s="4">
        <v>616126.15818417352</v>
      </c>
      <c r="C142" s="4">
        <v>101948.63181582652</v>
      </c>
      <c r="L142" s="4">
        <v>116</v>
      </c>
      <c r="M142" s="4">
        <v>776396.69232480507</v>
      </c>
      <c r="N142" s="4">
        <v>-58321.902324805036</v>
      </c>
      <c r="W142" s="4">
        <v>116</v>
      </c>
      <c r="X142" s="4">
        <v>678552.09638096381</v>
      </c>
      <c r="Y142" s="4">
        <v>39522.693619036232</v>
      </c>
      <c r="AH142" s="4">
        <v>116</v>
      </c>
      <c r="AI142" s="4">
        <v>689963.71112916025</v>
      </c>
      <c r="AJ142" s="4">
        <v>28111.078870839789</v>
      </c>
      <c r="AS142" s="9"/>
      <c r="AT142" s="9"/>
      <c r="AU142" s="9"/>
    </row>
    <row r="143" spans="1:47">
      <c r="A143" s="4">
        <v>117</v>
      </c>
      <c r="B143" s="4">
        <v>653808.1417757445</v>
      </c>
      <c r="C143" s="4">
        <v>61134.28822425555</v>
      </c>
      <c r="L143" s="4">
        <v>117</v>
      </c>
      <c r="M143" s="4">
        <v>725448.46395307453</v>
      </c>
      <c r="N143" s="4">
        <v>-10506.033953074482</v>
      </c>
      <c r="W143" s="4">
        <v>117</v>
      </c>
      <c r="X143" s="4">
        <v>671476.84319042845</v>
      </c>
      <c r="Y143" s="4">
        <v>43465.5868095716</v>
      </c>
      <c r="AH143" s="4">
        <v>117</v>
      </c>
      <c r="AI143" s="4">
        <v>686636.96321766183</v>
      </c>
      <c r="AJ143" s="4">
        <v>28305.466782338219</v>
      </c>
      <c r="AS143" s="9"/>
      <c r="AT143" s="9"/>
      <c r="AU143" s="9"/>
    </row>
    <row r="144" spans="1:47">
      <c r="A144" s="4">
        <v>118</v>
      </c>
      <c r="B144" s="4">
        <v>682929.80753574288</v>
      </c>
      <c r="C144" s="4">
        <v>137589.23246425716</v>
      </c>
      <c r="L144" s="4">
        <v>118</v>
      </c>
      <c r="M144" s="4">
        <v>747319.0970006031</v>
      </c>
      <c r="N144" s="4">
        <v>73199.942999396939</v>
      </c>
      <c r="W144" s="4">
        <v>118</v>
      </c>
      <c r="X144" s="4">
        <v>676887.3309243673</v>
      </c>
      <c r="Y144" s="4">
        <v>143631.70907563274</v>
      </c>
      <c r="AH144" s="4">
        <v>118</v>
      </c>
      <c r="AI144" s="4">
        <v>671333.92282476928</v>
      </c>
      <c r="AJ144" s="4">
        <v>149185.11717523076</v>
      </c>
      <c r="AS144" s="9"/>
      <c r="AT144" s="9"/>
      <c r="AU144" s="9"/>
    </row>
    <row r="145" spans="1:47">
      <c r="A145" s="4">
        <v>119</v>
      </c>
      <c r="B145" s="4">
        <v>651104.2838695636</v>
      </c>
      <c r="C145" s="4">
        <v>33113.036130436347</v>
      </c>
      <c r="L145" s="4">
        <v>119</v>
      </c>
      <c r="M145" s="4">
        <v>750101.98342426901</v>
      </c>
      <c r="N145" s="4">
        <v>-65884.663424269063</v>
      </c>
      <c r="W145" s="4">
        <v>119</v>
      </c>
      <c r="X145" s="4">
        <v>679384.47910926212</v>
      </c>
      <c r="Y145" s="4">
        <v>4832.8408907378325</v>
      </c>
      <c r="AH145" s="4">
        <v>119</v>
      </c>
      <c r="AI145" s="4">
        <v>699500.38847545558</v>
      </c>
      <c r="AJ145" s="4">
        <v>-15283.068475455628</v>
      </c>
      <c r="AS145" s="9"/>
      <c r="AT145" s="9"/>
      <c r="AU145" s="9"/>
    </row>
    <row r="146" spans="1:47">
      <c r="A146" s="4">
        <v>120</v>
      </c>
      <c r="B146" s="4">
        <v>677837.92904021579</v>
      </c>
      <c r="C146" s="4">
        <v>57642.260959784151</v>
      </c>
      <c r="L146" s="4">
        <v>120</v>
      </c>
      <c r="M146" s="4">
        <v>725270.07379771117</v>
      </c>
      <c r="N146" s="4">
        <v>10210.116202288773</v>
      </c>
      <c r="W146" s="4">
        <v>120</v>
      </c>
      <c r="X146" s="4">
        <v>665650.16409234039</v>
      </c>
      <c r="Y146" s="4">
        <v>69830.025907659554</v>
      </c>
      <c r="AH146" s="4">
        <v>120</v>
      </c>
      <c r="AI146" s="4">
        <v>697060.77334035677</v>
      </c>
      <c r="AJ146" s="4">
        <v>38419.416659643175</v>
      </c>
      <c r="AS146" s="9"/>
      <c r="AT146" s="9"/>
      <c r="AU146" s="9"/>
    </row>
    <row r="147" spans="1:47">
      <c r="A147" s="4">
        <v>121</v>
      </c>
      <c r="B147" s="4">
        <v>654257.46087411267</v>
      </c>
      <c r="C147" s="4">
        <v>-144772.65087411267</v>
      </c>
      <c r="L147" s="4">
        <v>121</v>
      </c>
      <c r="M147" s="4">
        <v>583878.0366568371</v>
      </c>
      <c r="N147" s="4">
        <v>-74393.226656837098</v>
      </c>
      <c r="W147" s="4">
        <v>121</v>
      </c>
      <c r="X147" s="4">
        <v>685627.34957149928</v>
      </c>
      <c r="Y147" s="4">
        <v>-176142.53957149928</v>
      </c>
      <c r="AH147" s="4">
        <v>121</v>
      </c>
      <c r="AI147" s="4">
        <v>668894.30768967047</v>
      </c>
      <c r="AJ147" s="4">
        <v>-159409.49768967048</v>
      </c>
      <c r="AS147" s="9"/>
      <c r="AT147" s="9"/>
      <c r="AU147" s="9"/>
    </row>
    <row r="148" spans="1:47">
      <c r="A148" s="4">
        <v>122</v>
      </c>
      <c r="B148" s="4">
        <v>737626.1609816124</v>
      </c>
      <c r="C148" s="4">
        <v>-83309.070981612429</v>
      </c>
      <c r="L148" s="4">
        <v>122</v>
      </c>
      <c r="M148" s="4">
        <v>578205.22971628723</v>
      </c>
      <c r="N148" s="4">
        <v>76111.86028371274</v>
      </c>
      <c r="W148" s="4">
        <v>122</v>
      </c>
      <c r="X148" s="4">
        <v>697835.62958654074</v>
      </c>
      <c r="Y148" s="4">
        <v>-43518.539586540777</v>
      </c>
      <c r="AH148" s="4">
        <v>122</v>
      </c>
      <c r="AI148" s="4">
        <v>683088.43211206351</v>
      </c>
      <c r="AJ148" s="4">
        <v>-28771.342112063547</v>
      </c>
      <c r="AS148" s="9"/>
      <c r="AT148" s="9"/>
      <c r="AU148" s="9"/>
    </row>
    <row r="149" spans="1:47">
      <c r="A149" s="4">
        <v>123</v>
      </c>
      <c r="B149" s="4">
        <v>663840.54984826688</v>
      </c>
      <c r="C149" s="4">
        <v>-106353.28984826687</v>
      </c>
      <c r="L149" s="4">
        <v>123</v>
      </c>
      <c r="M149" s="4">
        <v>604214.51436824212</v>
      </c>
      <c r="N149" s="4">
        <v>-46727.254368242109</v>
      </c>
      <c r="W149" s="4">
        <v>123</v>
      </c>
      <c r="X149" s="4">
        <v>688263.22821111046</v>
      </c>
      <c r="Y149" s="4">
        <v>-130775.96821111045</v>
      </c>
      <c r="AH149" s="4">
        <v>123</v>
      </c>
      <c r="AI149" s="4">
        <v>674882.4539303676</v>
      </c>
      <c r="AJ149" s="4">
        <v>-117395.19393036759</v>
      </c>
      <c r="AS149" s="9"/>
      <c r="AT149" s="9"/>
      <c r="AU149" s="9"/>
    </row>
    <row r="150" spans="1:47">
      <c r="A150" s="4">
        <v>124</v>
      </c>
      <c r="B150" s="4">
        <v>601374.46211543912</v>
      </c>
      <c r="C150" s="4">
        <v>-160099.04211543914</v>
      </c>
      <c r="L150" s="4">
        <v>124</v>
      </c>
      <c r="M150" s="4">
        <v>514412.91015840613</v>
      </c>
      <c r="N150" s="4">
        <v>-73137.490158406144</v>
      </c>
      <c r="W150" s="4">
        <v>124</v>
      </c>
      <c r="X150" s="4">
        <v>667869.85136780248</v>
      </c>
      <c r="Y150" s="4">
        <v>-226594.43136780249</v>
      </c>
      <c r="AH150" s="4">
        <v>124</v>
      </c>
      <c r="AI150" s="4">
        <v>701718.22041645448</v>
      </c>
      <c r="AJ150" s="4">
        <v>-260442.8004164545</v>
      </c>
      <c r="AS150" s="9"/>
      <c r="AT150" s="9"/>
      <c r="AU150" s="9"/>
    </row>
    <row r="151" spans="1:47">
      <c r="A151" s="4">
        <v>125</v>
      </c>
      <c r="B151" s="4">
        <v>691833.9878954615</v>
      </c>
      <c r="C151" s="4">
        <v>222710.18210453854</v>
      </c>
      <c r="L151" s="4">
        <v>125</v>
      </c>
      <c r="M151" s="4">
        <v>817319.39396512369</v>
      </c>
      <c r="N151" s="4">
        <v>97224.776034876355</v>
      </c>
      <c r="W151" s="4">
        <v>125</v>
      </c>
      <c r="X151" s="4">
        <v>680771.78365642589</v>
      </c>
      <c r="Y151" s="4">
        <v>233772.38634357415</v>
      </c>
      <c r="AH151" s="4">
        <v>125</v>
      </c>
      <c r="AI151" s="4">
        <v>680205.2505887649</v>
      </c>
      <c r="AJ151" s="4">
        <v>234338.91941123514</v>
      </c>
      <c r="AS151" s="9"/>
      <c r="AT151" s="9"/>
      <c r="AU151" s="9"/>
    </row>
    <row r="152" spans="1:47">
      <c r="A152" s="4">
        <v>126</v>
      </c>
      <c r="B152" s="4">
        <v>656069.45263309905</v>
      </c>
      <c r="C152" s="4">
        <v>186370.21736690099</v>
      </c>
      <c r="L152" s="4">
        <v>126</v>
      </c>
      <c r="M152" s="4">
        <v>841580.45509451907</v>
      </c>
      <c r="N152" s="4">
        <v>859.21490548097063</v>
      </c>
      <c r="W152" s="4">
        <v>126</v>
      </c>
      <c r="X152" s="4">
        <v>673419.06955645769</v>
      </c>
      <c r="Y152" s="4">
        <v>169020.60044354235</v>
      </c>
      <c r="AH152" s="4">
        <v>126</v>
      </c>
      <c r="AI152" s="4">
        <v>702827.13638695399</v>
      </c>
      <c r="AJ152" s="4">
        <v>139612.53361304605</v>
      </c>
      <c r="AS152" s="9"/>
      <c r="AT152" s="9"/>
      <c r="AU152" s="9"/>
    </row>
    <row r="153" spans="1:47">
      <c r="A153" s="4">
        <v>127</v>
      </c>
      <c r="B153" s="4">
        <v>681136.47085662617</v>
      </c>
      <c r="C153" s="4">
        <v>161021.44914337387</v>
      </c>
      <c r="L153" s="4">
        <v>127</v>
      </c>
      <c r="M153" s="4">
        <v>787992.05242341314</v>
      </c>
      <c r="N153" s="4">
        <v>54165.867576586897</v>
      </c>
      <c r="W153" s="4">
        <v>127</v>
      </c>
      <c r="X153" s="4">
        <v>669534.6168243991</v>
      </c>
      <c r="Y153" s="4">
        <v>172623.30317560094</v>
      </c>
      <c r="AH153" s="4">
        <v>127</v>
      </c>
      <c r="AI153" s="4">
        <v>680427.03378286492</v>
      </c>
      <c r="AJ153" s="4">
        <v>161730.88621713512</v>
      </c>
      <c r="AS153" s="9"/>
      <c r="AT153" s="9"/>
      <c r="AU153" s="9"/>
    </row>
    <row r="154" spans="1:47">
      <c r="A154" s="4">
        <v>128</v>
      </c>
      <c r="B154" s="4">
        <v>641335.98572916887</v>
      </c>
      <c r="C154" s="4">
        <v>55819.314270831179</v>
      </c>
      <c r="L154" s="4">
        <v>128</v>
      </c>
      <c r="M154" s="4">
        <v>739719.67638213071</v>
      </c>
      <c r="N154" s="4">
        <v>-42564.376382130664</v>
      </c>
      <c r="W154" s="4">
        <v>128</v>
      </c>
      <c r="X154" s="4">
        <v>684517.50593376823</v>
      </c>
      <c r="Y154" s="4">
        <v>12637.794066231814</v>
      </c>
      <c r="AH154" s="4">
        <v>128</v>
      </c>
      <c r="AI154" s="4">
        <v>665567.55977817206</v>
      </c>
      <c r="AJ154" s="4">
        <v>31587.740221827989</v>
      </c>
      <c r="AS154" s="9"/>
      <c r="AT154" s="9"/>
      <c r="AU154" s="9"/>
    </row>
    <row r="155" spans="1:47">
      <c r="A155" s="4">
        <v>129</v>
      </c>
      <c r="B155" s="4">
        <v>701862.83957718674</v>
      </c>
      <c r="C155" s="4">
        <v>147155.46042281331</v>
      </c>
      <c r="L155" s="4">
        <v>129</v>
      </c>
      <c r="M155" s="4">
        <v>825239.91686324985</v>
      </c>
      <c r="N155" s="4">
        <v>23778.383136750199</v>
      </c>
      <c r="W155" s="4">
        <v>129</v>
      </c>
      <c r="X155" s="4">
        <v>678135.90501681471</v>
      </c>
      <c r="Y155" s="4">
        <v>170882.39498318534</v>
      </c>
      <c r="AH155" s="4">
        <v>129</v>
      </c>
      <c r="AI155" s="4">
        <v>680648.81697696471</v>
      </c>
      <c r="AJ155" s="4">
        <v>168369.48302303534</v>
      </c>
      <c r="AS155" s="9"/>
      <c r="AT155" s="9"/>
      <c r="AU155" s="9"/>
    </row>
    <row r="156" spans="1:47">
      <c r="A156" s="4">
        <v>130</v>
      </c>
      <c r="B156" s="4">
        <v>706463.57411491184</v>
      </c>
      <c r="C156" s="4">
        <v>95366.775885088136</v>
      </c>
      <c r="L156" s="4">
        <v>130</v>
      </c>
      <c r="M156" s="4">
        <v>824455.00017965166</v>
      </c>
      <c r="N156" s="4">
        <v>-22624.650179651682</v>
      </c>
      <c r="W156" s="4">
        <v>130</v>
      </c>
      <c r="X156" s="4">
        <v>669118.42546024988</v>
      </c>
      <c r="Y156" s="4">
        <v>132711.92453975009</v>
      </c>
      <c r="AH156" s="4">
        <v>130</v>
      </c>
      <c r="AI156" s="4">
        <v>664902.21019587247</v>
      </c>
      <c r="AJ156" s="4">
        <v>136928.13980412751</v>
      </c>
      <c r="AS156" s="9"/>
      <c r="AT156" s="9"/>
      <c r="AU156" s="9"/>
    </row>
    <row r="157" spans="1:47">
      <c r="A157" s="4">
        <v>131</v>
      </c>
      <c r="B157" s="4">
        <v>668822.69132716337</v>
      </c>
      <c r="C157" s="4">
        <v>56412.58867283666</v>
      </c>
      <c r="L157" s="4">
        <v>131</v>
      </c>
      <c r="M157" s="4">
        <v>789597.56382168201</v>
      </c>
      <c r="N157" s="4">
        <v>-64362.28382168198</v>
      </c>
      <c r="W157" s="4">
        <v>131</v>
      </c>
      <c r="X157" s="4">
        <v>677858.44410738198</v>
      </c>
      <c r="Y157" s="4">
        <v>47376.835892618052</v>
      </c>
      <c r="AH157" s="4">
        <v>131</v>
      </c>
      <c r="AI157" s="4">
        <v>692846.89265245874</v>
      </c>
      <c r="AJ157" s="4">
        <v>32388.387347541284</v>
      </c>
      <c r="AS157" s="9"/>
      <c r="AT157" s="9"/>
      <c r="AU157" s="9"/>
    </row>
    <row r="158" spans="1:47">
      <c r="A158" s="4">
        <v>132</v>
      </c>
      <c r="B158" s="4">
        <v>702299.9775046811</v>
      </c>
      <c r="C158" s="4">
        <v>109152.74249531887</v>
      </c>
      <c r="L158" s="4">
        <v>132</v>
      </c>
      <c r="M158" s="4">
        <v>833017.72763708537</v>
      </c>
      <c r="N158" s="4">
        <v>-21565.007637085393</v>
      </c>
      <c r="W158" s="4">
        <v>132</v>
      </c>
      <c r="X158" s="4">
        <v>685488.61911678291</v>
      </c>
      <c r="Y158" s="4">
        <v>125964.10088321706</v>
      </c>
      <c r="AH158" s="4">
        <v>132</v>
      </c>
      <c r="AI158" s="4">
        <v>673329.97157166828</v>
      </c>
      <c r="AJ158" s="4">
        <v>138122.74842833169</v>
      </c>
      <c r="AS158" s="9"/>
      <c r="AT158" s="9"/>
      <c r="AU158" s="9"/>
    </row>
    <row r="159" spans="1:47">
      <c r="A159" s="4">
        <v>133</v>
      </c>
      <c r="B159" s="4">
        <v>710435.97745223157</v>
      </c>
      <c r="C159" s="4">
        <v>-183135.84745223157</v>
      </c>
      <c r="L159" s="4">
        <v>133</v>
      </c>
      <c r="M159" s="4">
        <v>554978.83148799837</v>
      </c>
      <c r="N159" s="4">
        <v>-27678.701487998362</v>
      </c>
      <c r="W159" s="4">
        <v>133</v>
      </c>
      <c r="X159" s="4">
        <v>686875.92366394668</v>
      </c>
      <c r="Y159" s="4">
        <v>-159575.79366394668</v>
      </c>
      <c r="AH159" s="4">
        <v>133</v>
      </c>
      <c r="AI159" s="4">
        <v>679761.68420056521</v>
      </c>
      <c r="AJ159" s="4">
        <v>-152461.55420056521</v>
      </c>
      <c r="AS159" s="9"/>
      <c r="AT159" s="9"/>
      <c r="AU159" s="9"/>
    </row>
    <row r="160" spans="1:47">
      <c r="A160" s="4">
        <v>134</v>
      </c>
      <c r="B160" s="4">
        <v>607780.56543288182</v>
      </c>
      <c r="C160" s="4">
        <v>-206948.9154328818</v>
      </c>
      <c r="L160" s="4">
        <v>134</v>
      </c>
      <c r="M160" s="4">
        <v>511130.53129972325</v>
      </c>
      <c r="N160" s="4">
        <v>-110298.88129972323</v>
      </c>
      <c r="W160" s="4">
        <v>134</v>
      </c>
      <c r="X160" s="4">
        <v>670644.46046213014</v>
      </c>
      <c r="Y160" s="4">
        <v>-269812.81046213012</v>
      </c>
      <c r="AH160" s="4">
        <v>134</v>
      </c>
      <c r="AI160" s="4">
        <v>664680.42700177245</v>
      </c>
      <c r="AJ160" s="4">
        <v>-263848.77700177243</v>
      </c>
      <c r="AS160" s="9"/>
      <c r="AT160" s="9"/>
      <c r="AU160" s="9"/>
    </row>
    <row r="161" spans="1:47">
      <c r="A161" s="4">
        <v>135</v>
      </c>
      <c r="B161" s="4">
        <v>672123.14976136864</v>
      </c>
      <c r="C161" s="4">
        <v>-78875.899761368637</v>
      </c>
      <c r="L161" s="4">
        <v>135</v>
      </c>
      <c r="M161" s="4">
        <v>575493.69935476664</v>
      </c>
      <c r="N161" s="4">
        <v>17753.550645233365</v>
      </c>
      <c r="W161" s="4">
        <v>135</v>
      </c>
      <c r="X161" s="4">
        <v>685904.81048093201</v>
      </c>
      <c r="Y161" s="4">
        <v>-92657.560480932007</v>
      </c>
      <c r="AH161" s="4">
        <v>135</v>
      </c>
      <c r="AI161" s="4">
        <v>696838.99014625687</v>
      </c>
      <c r="AJ161" s="4">
        <v>-103591.74014625687</v>
      </c>
      <c r="AS161" s="9"/>
      <c r="AT161" s="9"/>
      <c r="AU161" s="9"/>
    </row>
    <row r="162" spans="1:47">
      <c r="A162" s="4">
        <v>136</v>
      </c>
      <c r="B162" s="4">
        <v>710628.66142787179</v>
      </c>
      <c r="C162" s="4">
        <v>-181552.71142787184</v>
      </c>
      <c r="L162" s="4">
        <v>136</v>
      </c>
      <c r="M162" s="4">
        <v>516446.55792954669</v>
      </c>
      <c r="N162" s="4">
        <v>12629.392070453265</v>
      </c>
      <c r="W162" s="4">
        <v>136</v>
      </c>
      <c r="X162" s="4">
        <v>672586.68682815949</v>
      </c>
      <c r="Y162" s="4">
        <v>-143510.73682815954</v>
      </c>
      <c r="AH162" s="4">
        <v>136</v>
      </c>
      <c r="AI162" s="4">
        <v>683975.56488846312</v>
      </c>
      <c r="AJ162" s="4">
        <v>-154899.61488846317</v>
      </c>
      <c r="AS162" s="9"/>
      <c r="AT162" s="9"/>
      <c r="AU162" s="9"/>
    </row>
    <row r="163" spans="1:47">
      <c r="A163" s="4">
        <v>137</v>
      </c>
      <c r="B163" s="4">
        <v>712660.06333285978</v>
      </c>
      <c r="C163" s="4">
        <v>-79022.033332859748</v>
      </c>
      <c r="L163" s="4">
        <v>137</v>
      </c>
      <c r="M163" s="4">
        <v>727838.89203494135</v>
      </c>
      <c r="N163" s="4">
        <v>-94200.862034941325</v>
      </c>
      <c r="W163" s="4">
        <v>137</v>
      </c>
      <c r="X163" s="4">
        <v>691176.56776015449</v>
      </c>
      <c r="Y163" s="4">
        <v>-57538.537760154461</v>
      </c>
      <c r="AH163" s="4">
        <v>137</v>
      </c>
      <c r="AI163" s="4">
        <v>658026.93117877573</v>
      </c>
      <c r="AJ163" s="4">
        <v>-24388.901178775704</v>
      </c>
      <c r="AS163" s="9"/>
      <c r="AT163" s="9"/>
      <c r="AU163" s="9"/>
    </row>
    <row r="164" spans="1:47">
      <c r="A164" s="4">
        <v>138</v>
      </c>
      <c r="B164" s="4">
        <v>720729.04554485087</v>
      </c>
      <c r="C164" s="4">
        <v>22619.794455149095</v>
      </c>
      <c r="L164" s="4">
        <v>138</v>
      </c>
      <c r="M164" s="4">
        <v>669184.2089515205</v>
      </c>
      <c r="N164" s="4">
        <v>74164.631048479467</v>
      </c>
      <c r="W164" s="4">
        <v>138</v>
      </c>
      <c r="X164" s="4">
        <v>686875.92366394668</v>
      </c>
      <c r="Y164" s="4">
        <v>56472.916336053284</v>
      </c>
      <c r="AH164" s="4">
        <v>138</v>
      </c>
      <c r="AI164" s="4">
        <v>698391.47250495607</v>
      </c>
      <c r="AJ164" s="4">
        <v>44957.367495043902</v>
      </c>
      <c r="AS164" s="9"/>
      <c r="AT164" s="9"/>
      <c r="AU164" s="9"/>
    </row>
    <row r="165" spans="1:47">
      <c r="A165" s="4">
        <v>139</v>
      </c>
      <c r="B165" s="4">
        <v>709376.9822333277</v>
      </c>
      <c r="C165" s="4">
        <v>49450.657766672317</v>
      </c>
      <c r="L165" s="4">
        <v>139</v>
      </c>
      <c r="M165" s="4">
        <v>679887.61827331258</v>
      </c>
      <c r="N165" s="4">
        <v>78940.021726687439</v>
      </c>
      <c r="W165" s="4">
        <v>139</v>
      </c>
      <c r="X165" s="4">
        <v>676748.60046965093</v>
      </c>
      <c r="Y165" s="4">
        <v>82079.03953034908</v>
      </c>
      <c r="AH165" s="4">
        <v>139</v>
      </c>
      <c r="AI165" s="4">
        <v>684862.69766486273</v>
      </c>
      <c r="AJ165" s="4">
        <v>73964.942335137282</v>
      </c>
      <c r="AS165" s="9"/>
      <c r="AT165" s="9"/>
      <c r="AU165" s="9"/>
    </row>
    <row r="166" spans="1:47">
      <c r="A166" s="4">
        <v>140</v>
      </c>
      <c r="B166" s="4">
        <v>654930.02335407212</v>
      </c>
      <c r="C166" s="4">
        <v>-8370.313354072161</v>
      </c>
      <c r="L166" s="4">
        <v>140</v>
      </c>
      <c r="M166" s="4">
        <v>641391.0227459335</v>
      </c>
      <c r="N166" s="4">
        <v>5168.6872540664626</v>
      </c>
      <c r="W166" s="4">
        <v>140</v>
      </c>
      <c r="X166" s="4">
        <v>671893.03455457755</v>
      </c>
      <c r="Y166" s="4">
        <v>-25333.324554577586</v>
      </c>
      <c r="AH166" s="4">
        <v>140</v>
      </c>
      <c r="AI166" s="4">
        <v>684419.13127666293</v>
      </c>
      <c r="AJ166" s="4">
        <v>-37859.421276662964</v>
      </c>
      <c r="AS166" s="9"/>
      <c r="AT166" s="9"/>
      <c r="AU166" s="9"/>
    </row>
    <row r="167" spans="1:47">
      <c r="A167" s="4">
        <v>141</v>
      </c>
      <c r="B167" s="4">
        <v>670302.0647157334</v>
      </c>
      <c r="C167" s="4">
        <v>45588.465284266626</v>
      </c>
      <c r="L167" s="4">
        <v>141</v>
      </c>
      <c r="M167" s="4">
        <v>675713.28863781365</v>
      </c>
      <c r="N167" s="4">
        <v>40177.241362186382</v>
      </c>
      <c r="W167" s="4">
        <v>141</v>
      </c>
      <c r="X167" s="4">
        <v>665372.70318290766</v>
      </c>
      <c r="Y167" s="4">
        <v>50517.826817092369</v>
      </c>
      <c r="AH167" s="4">
        <v>141</v>
      </c>
      <c r="AI167" s="4">
        <v>681757.73294746422</v>
      </c>
      <c r="AJ167" s="4">
        <v>34132.797052535811</v>
      </c>
      <c r="AS167" s="9"/>
      <c r="AT167" s="9"/>
      <c r="AU167" s="9"/>
    </row>
    <row r="168" spans="1:47">
      <c r="A168" s="4">
        <v>142</v>
      </c>
      <c r="B168" s="4">
        <v>658112.75886416819</v>
      </c>
      <c r="C168" s="4">
        <v>56984.811135831755</v>
      </c>
      <c r="L168" s="4">
        <v>142</v>
      </c>
      <c r="M168" s="4">
        <v>685596.10324493505</v>
      </c>
      <c r="N168" s="4">
        <v>29501.466755064903</v>
      </c>
      <c r="W168" s="4">
        <v>142</v>
      </c>
      <c r="X168" s="4">
        <v>692563.87230731826</v>
      </c>
      <c r="Y168" s="4">
        <v>22533.697692681686</v>
      </c>
      <c r="AH168" s="4">
        <v>142</v>
      </c>
      <c r="AI168" s="4">
        <v>693734.02542885835</v>
      </c>
      <c r="AJ168" s="4">
        <v>21363.544571141596</v>
      </c>
      <c r="AS168" s="9"/>
      <c r="AT168" s="9"/>
      <c r="AU168" s="9"/>
    </row>
    <row r="169" spans="1:47">
      <c r="A169" s="4">
        <v>143</v>
      </c>
      <c r="B169" s="4">
        <v>654552.3431697241</v>
      </c>
      <c r="C169" s="4">
        <v>28086.936830275925</v>
      </c>
      <c r="L169" s="4">
        <v>143</v>
      </c>
      <c r="M169" s="4">
        <v>647813.06833900884</v>
      </c>
      <c r="N169" s="4">
        <v>34826.21166099119</v>
      </c>
      <c r="W169" s="4">
        <v>143</v>
      </c>
      <c r="X169" s="4">
        <v>688263.22821111046</v>
      </c>
      <c r="Y169" s="4">
        <v>-5623.9482111104298</v>
      </c>
      <c r="AH169" s="4">
        <v>143</v>
      </c>
      <c r="AI169" s="4">
        <v>681092.38336516451</v>
      </c>
      <c r="AJ169" s="4">
        <v>1546.896634835517</v>
      </c>
      <c r="AS169" s="9"/>
      <c r="AT169" s="9"/>
      <c r="AU169" s="9"/>
    </row>
    <row r="170" spans="1:47">
      <c r="A170" s="4">
        <v>144</v>
      </c>
      <c r="B170" s="4">
        <v>667678.02329283056</v>
      </c>
      <c r="C170" s="4">
        <v>27420.486707169446</v>
      </c>
      <c r="L170" s="4">
        <v>144</v>
      </c>
      <c r="M170" s="4">
        <v>663654.11413526116</v>
      </c>
      <c r="N170" s="4">
        <v>31444.39586473885</v>
      </c>
      <c r="W170" s="4">
        <v>144</v>
      </c>
      <c r="X170" s="4">
        <v>672586.68682815949</v>
      </c>
      <c r="Y170" s="4">
        <v>22511.823171840515</v>
      </c>
      <c r="AH170" s="4">
        <v>144</v>
      </c>
      <c r="AI170" s="4">
        <v>693290.45904065855</v>
      </c>
      <c r="AJ170" s="4">
        <v>1808.0509593414608</v>
      </c>
      <c r="AS170" s="9"/>
      <c r="AT170" s="9"/>
      <c r="AU170" s="9"/>
    </row>
    <row r="171" spans="1:47">
      <c r="A171" s="4">
        <v>145</v>
      </c>
      <c r="B171" s="4">
        <v>710887.27705565433</v>
      </c>
      <c r="C171" s="4">
        <v>-133154.70705565438</v>
      </c>
      <c r="L171" s="4">
        <v>145</v>
      </c>
      <c r="M171" s="4">
        <v>600254.25291917915</v>
      </c>
      <c r="N171" s="4">
        <v>-22521.682919179206</v>
      </c>
      <c r="W171" s="4">
        <v>145</v>
      </c>
      <c r="X171" s="4">
        <v>674390.18273947237</v>
      </c>
      <c r="Y171" s="4">
        <v>-96657.612739472417</v>
      </c>
      <c r="AH171" s="4">
        <v>145</v>
      </c>
      <c r="AI171" s="4">
        <v>684862.69766486273</v>
      </c>
      <c r="AJ171" s="4">
        <v>-107130.12766486278</v>
      </c>
      <c r="AS171" s="9"/>
      <c r="AT171" s="9"/>
      <c r="AU171" s="9"/>
    </row>
    <row r="172" spans="1:47">
      <c r="A172" s="4">
        <v>146</v>
      </c>
      <c r="B172" s="4">
        <v>669192.47078704601</v>
      </c>
      <c r="C172" s="4">
        <v>-132134.14078704605</v>
      </c>
      <c r="L172" s="4">
        <v>146</v>
      </c>
      <c r="M172" s="4">
        <v>558867.73687491613</v>
      </c>
      <c r="N172" s="4">
        <v>-21809.406874916167</v>
      </c>
      <c r="W172" s="4">
        <v>146</v>
      </c>
      <c r="X172" s="4">
        <v>689511.80230355787</v>
      </c>
      <c r="Y172" s="4">
        <v>-152453.47230355791</v>
      </c>
      <c r="AH172" s="4">
        <v>146</v>
      </c>
      <c r="AI172" s="4">
        <v>692625.10945835896</v>
      </c>
      <c r="AJ172" s="4">
        <v>-155566.779458359</v>
      </c>
      <c r="AS172" s="9"/>
      <c r="AT172" s="9"/>
      <c r="AU172" s="9"/>
    </row>
    <row r="173" spans="1:47">
      <c r="A173" s="4">
        <v>147</v>
      </c>
      <c r="B173" s="4">
        <v>674393.80945441127</v>
      </c>
      <c r="C173" s="4">
        <v>-72824.939454411273</v>
      </c>
      <c r="L173" s="4">
        <v>147</v>
      </c>
      <c r="M173" s="4">
        <v>598363.31727232912</v>
      </c>
      <c r="N173" s="4">
        <v>3205.5527276708744</v>
      </c>
      <c r="W173" s="4">
        <v>147</v>
      </c>
      <c r="X173" s="4">
        <v>676193.67865078535</v>
      </c>
      <c r="Y173" s="4">
        <v>-74624.808650785359</v>
      </c>
      <c r="AH173" s="4">
        <v>147</v>
      </c>
      <c r="AI173" s="4">
        <v>692625.10945835896</v>
      </c>
      <c r="AJ173" s="4">
        <v>-91056.239458358963</v>
      </c>
      <c r="AS173" s="9"/>
      <c r="AT173" s="9"/>
      <c r="AU173" s="9"/>
    </row>
    <row r="174" spans="1:47">
      <c r="A174" s="4">
        <v>148</v>
      </c>
      <c r="B174" s="4">
        <v>689238.44019044167</v>
      </c>
      <c r="C174" s="4">
        <v>-118273.60019044171</v>
      </c>
      <c r="L174" s="4">
        <v>148</v>
      </c>
      <c r="M174" s="4">
        <v>565931.98702729901</v>
      </c>
      <c r="N174" s="4">
        <v>5032.8529727009591</v>
      </c>
      <c r="W174" s="4">
        <v>148</v>
      </c>
      <c r="X174" s="4">
        <v>682852.74047717161</v>
      </c>
      <c r="Y174" s="4">
        <v>-111887.90047717164</v>
      </c>
      <c r="AH174" s="4">
        <v>148</v>
      </c>
      <c r="AI174" s="4">
        <v>683088.43211206351</v>
      </c>
      <c r="AJ174" s="4">
        <v>-112123.59211206355</v>
      </c>
      <c r="AS174" s="9"/>
      <c r="AT174" s="9"/>
      <c r="AU174" s="9"/>
    </row>
    <row r="175" spans="1:47">
      <c r="A175" s="4">
        <v>149</v>
      </c>
      <c r="B175" s="4">
        <v>670611.64108110522</v>
      </c>
      <c r="C175" s="4">
        <v>-56586.731081105187</v>
      </c>
      <c r="L175" s="4">
        <v>149</v>
      </c>
      <c r="M175" s="4">
        <v>636538.81052005442</v>
      </c>
      <c r="N175" s="4">
        <v>-22513.900520054391</v>
      </c>
      <c r="W175" s="4">
        <v>149</v>
      </c>
      <c r="X175" s="4">
        <v>691315.29821487085</v>
      </c>
      <c r="Y175" s="4">
        <v>-77290.388214870822</v>
      </c>
      <c r="AH175" s="4">
        <v>149</v>
      </c>
      <c r="AI175" s="4">
        <v>680205.2505887649</v>
      </c>
      <c r="AJ175" s="4">
        <v>-66180.34058876487</v>
      </c>
      <c r="AS175" s="9"/>
      <c r="AT175" s="9"/>
      <c r="AU175" s="9"/>
    </row>
    <row r="176" spans="1:47">
      <c r="A176" s="4">
        <v>150</v>
      </c>
      <c r="B176" s="4">
        <v>653030.42086610873</v>
      </c>
      <c r="C176" s="4">
        <v>59837.929133891244</v>
      </c>
      <c r="L176" s="4">
        <v>150</v>
      </c>
      <c r="M176" s="4">
        <v>680137.36449082103</v>
      </c>
      <c r="N176" s="4">
        <v>32730.98550917895</v>
      </c>
      <c r="W176" s="4">
        <v>150</v>
      </c>
      <c r="X176" s="4">
        <v>691731.48957901995</v>
      </c>
      <c r="Y176" s="4">
        <v>21136.860420980025</v>
      </c>
      <c r="AH176" s="4">
        <v>150</v>
      </c>
      <c r="AI176" s="4">
        <v>704379.61874565319</v>
      </c>
      <c r="AJ176" s="4">
        <v>8488.7312543467851</v>
      </c>
      <c r="AS176" s="9"/>
      <c r="AT176" s="9"/>
      <c r="AU176" s="9"/>
    </row>
    <row r="177" spans="1:47">
      <c r="A177" s="4">
        <v>151</v>
      </c>
      <c r="B177" s="4">
        <v>661066.60761805496</v>
      </c>
      <c r="C177" s="4">
        <v>35677.542381945066</v>
      </c>
      <c r="L177" s="4">
        <v>151</v>
      </c>
      <c r="M177" s="4">
        <v>644423.65538710798</v>
      </c>
      <c r="N177" s="4">
        <v>52320.494612892042</v>
      </c>
      <c r="W177" s="4">
        <v>151</v>
      </c>
      <c r="X177" s="4">
        <v>683962.58411490265</v>
      </c>
      <c r="Y177" s="4">
        <v>12781.56588509737</v>
      </c>
      <c r="AH177" s="4">
        <v>151</v>
      </c>
      <c r="AI177" s="4">
        <v>695508.29098165757</v>
      </c>
      <c r="AJ177" s="4">
        <v>1235.8590183424531</v>
      </c>
      <c r="AS177" s="9"/>
      <c r="AT177" s="9"/>
      <c r="AU177" s="9"/>
    </row>
    <row r="178" spans="1:47">
      <c r="A178" s="4">
        <v>152</v>
      </c>
      <c r="B178" s="4">
        <v>713798.17227518361</v>
      </c>
      <c r="C178" s="4">
        <v>12049.817724816385</v>
      </c>
      <c r="L178" s="4">
        <v>152</v>
      </c>
      <c r="M178" s="4">
        <v>657303.42460433114</v>
      </c>
      <c r="N178" s="4">
        <v>68544.565395668847</v>
      </c>
      <c r="W178" s="4">
        <v>152</v>
      </c>
      <c r="X178" s="4">
        <v>670505.73000741377</v>
      </c>
      <c r="Y178" s="4">
        <v>55342.259992586216</v>
      </c>
      <c r="AH178" s="4">
        <v>152</v>
      </c>
      <c r="AI178" s="4">
        <v>693955.80862295826</v>
      </c>
      <c r="AJ178" s="4">
        <v>31892.181377041736</v>
      </c>
      <c r="AS178" s="9"/>
      <c r="AT178" s="9"/>
      <c r="AU178" s="9"/>
    </row>
    <row r="179" spans="1:47">
      <c r="A179" s="4">
        <v>153</v>
      </c>
      <c r="B179" s="4">
        <v>721869.56090729497</v>
      </c>
      <c r="C179" s="4">
        <v>63158.689092705026</v>
      </c>
      <c r="L179" s="4">
        <v>153</v>
      </c>
      <c r="M179" s="4">
        <v>791559.85553067725</v>
      </c>
      <c r="N179" s="4">
        <v>-6531.6055306772469</v>
      </c>
      <c r="W179" s="4">
        <v>153</v>
      </c>
      <c r="X179" s="4">
        <v>665372.70318290766</v>
      </c>
      <c r="Y179" s="4">
        <v>119655.54681709234</v>
      </c>
      <c r="AH179" s="4">
        <v>153</v>
      </c>
      <c r="AI179" s="4">
        <v>678652.7682300657</v>
      </c>
      <c r="AJ179" s="4">
        <v>106375.4817699343</v>
      </c>
      <c r="AS179" s="9"/>
      <c r="AT179" s="9"/>
      <c r="AU179" s="9"/>
    </row>
    <row r="180" spans="1:47">
      <c r="A180" s="4">
        <v>154</v>
      </c>
      <c r="B180" s="4">
        <v>697868.22476920031</v>
      </c>
      <c r="C180" s="4">
        <v>624.44523079972714</v>
      </c>
      <c r="L180" s="4">
        <v>154</v>
      </c>
      <c r="M180" s="4">
        <v>686880.51236355014</v>
      </c>
      <c r="N180" s="4">
        <v>11612.157636449905</v>
      </c>
      <c r="W180" s="4">
        <v>154</v>
      </c>
      <c r="X180" s="4">
        <v>674390.18273947237</v>
      </c>
      <c r="Y180" s="4">
        <v>24102.487260527676</v>
      </c>
      <c r="AH180" s="4">
        <v>154</v>
      </c>
      <c r="AI180" s="4">
        <v>677765.63545366609</v>
      </c>
      <c r="AJ180" s="4">
        <v>20727.034546333947</v>
      </c>
      <c r="AS180" s="9"/>
      <c r="AT180" s="9"/>
      <c r="AU180" s="9"/>
    </row>
    <row r="181" spans="1:47">
      <c r="A181" s="4">
        <v>155</v>
      </c>
      <c r="B181" s="4">
        <v>691605.33539253811</v>
      </c>
      <c r="C181" s="4">
        <v>-5775.0953925381182</v>
      </c>
      <c r="L181" s="4">
        <v>155</v>
      </c>
      <c r="M181" s="4">
        <v>722736.93359155371</v>
      </c>
      <c r="N181" s="4">
        <v>-36906.693591553718</v>
      </c>
      <c r="W181" s="4">
        <v>155</v>
      </c>
      <c r="X181" s="4">
        <v>672864.14773759223</v>
      </c>
      <c r="Y181" s="4">
        <v>12966.092262407765</v>
      </c>
      <c r="AH181" s="4">
        <v>155</v>
      </c>
      <c r="AI181" s="4">
        <v>685528.04724716232</v>
      </c>
      <c r="AJ181" s="4">
        <v>302.1927528376691</v>
      </c>
      <c r="AS181" s="9"/>
      <c r="AT181" s="9"/>
      <c r="AU181" s="9"/>
    </row>
    <row r="182" spans="1:47">
      <c r="A182" s="4">
        <v>156</v>
      </c>
      <c r="B182" s="4">
        <v>651706.25092741335</v>
      </c>
      <c r="C182" s="4">
        <v>50612.689072586596</v>
      </c>
      <c r="L182" s="4">
        <v>156</v>
      </c>
      <c r="M182" s="4">
        <v>720881.67597577651</v>
      </c>
      <c r="N182" s="4">
        <v>-18562.735975776566</v>
      </c>
      <c r="W182" s="4">
        <v>156</v>
      </c>
      <c r="X182" s="4">
        <v>671893.03455457755</v>
      </c>
      <c r="Y182" s="4">
        <v>30425.905445422395</v>
      </c>
      <c r="AH182" s="4">
        <v>156</v>
      </c>
      <c r="AI182" s="4">
        <v>684640.91447076283</v>
      </c>
      <c r="AJ182" s="4">
        <v>17678.025529237115</v>
      </c>
      <c r="AS182" s="9"/>
      <c r="AT182" s="9"/>
      <c r="AU182" s="9"/>
    </row>
    <row r="183" spans="1:47">
      <c r="A183" s="4">
        <v>157</v>
      </c>
      <c r="B183" s="4">
        <v>745801.89880477567</v>
      </c>
      <c r="C183" s="4">
        <v>-45723.578804775723</v>
      </c>
      <c r="L183" s="4">
        <v>157</v>
      </c>
      <c r="M183" s="4">
        <v>675606.25454459572</v>
      </c>
      <c r="N183" s="4">
        <v>24472.065455404227</v>
      </c>
      <c r="W183" s="4">
        <v>157</v>
      </c>
      <c r="X183" s="4">
        <v>689927.99366770708</v>
      </c>
      <c r="Y183" s="4">
        <v>10150.326332292869</v>
      </c>
      <c r="AH183" s="4">
        <v>157</v>
      </c>
      <c r="AI183" s="4">
        <v>673773.53795986809</v>
      </c>
      <c r="AJ183" s="4">
        <v>26304.78204013186</v>
      </c>
      <c r="AS183" s="9"/>
      <c r="AT183" s="9"/>
      <c r="AU183" s="9"/>
    </row>
    <row r="184" spans="1:47">
      <c r="A184" s="4">
        <v>158</v>
      </c>
      <c r="B184" s="4">
        <v>649927.92775435618</v>
      </c>
      <c r="C184" s="4">
        <v>-47925.607754356228</v>
      </c>
      <c r="L184" s="4">
        <v>158</v>
      </c>
      <c r="M184" s="4">
        <v>639071.95072621189</v>
      </c>
      <c r="N184" s="4">
        <v>-37069.630726211937</v>
      </c>
      <c r="W184" s="4">
        <v>158</v>
      </c>
      <c r="X184" s="4">
        <v>682020.3577488733</v>
      </c>
      <c r="Y184" s="4">
        <v>-80018.03774887335</v>
      </c>
      <c r="AH184" s="4">
        <v>158</v>
      </c>
      <c r="AI184" s="4">
        <v>687967.66238226113</v>
      </c>
      <c r="AJ184" s="4">
        <v>-85965.34238226118</v>
      </c>
      <c r="AS184" s="9"/>
      <c r="AT184" s="9"/>
      <c r="AU184" s="9"/>
    </row>
    <row r="185" spans="1:47">
      <c r="A185" s="4">
        <v>159</v>
      </c>
      <c r="B185" s="4">
        <v>681988.85467724735</v>
      </c>
      <c r="C185" s="4">
        <v>42227.2153227526</v>
      </c>
      <c r="L185" s="4">
        <v>159</v>
      </c>
      <c r="M185" s="4">
        <v>696691.97090852621</v>
      </c>
      <c r="N185" s="4">
        <v>27524.099091473734</v>
      </c>
      <c r="W185" s="4">
        <v>159</v>
      </c>
      <c r="X185" s="4">
        <v>675916.21774135262</v>
      </c>
      <c r="Y185" s="4">
        <v>48299.852258647326</v>
      </c>
      <c r="AH185" s="4">
        <v>159</v>
      </c>
      <c r="AI185" s="4">
        <v>649377.38660888001</v>
      </c>
      <c r="AJ185" s="4">
        <v>74838.683391119936</v>
      </c>
      <c r="AS185" s="9"/>
      <c r="AT185" s="9"/>
      <c r="AU185" s="9"/>
    </row>
    <row r="186" spans="1:47">
      <c r="A186" s="4">
        <v>160</v>
      </c>
      <c r="B186" s="4">
        <v>610299.70397514757</v>
      </c>
      <c r="C186" s="4">
        <v>10673.32602485246</v>
      </c>
      <c r="L186" s="4">
        <v>160</v>
      </c>
      <c r="M186" s="4">
        <v>583663.96847040125</v>
      </c>
      <c r="N186" s="4">
        <v>37309.061529598781</v>
      </c>
      <c r="W186" s="4">
        <v>160</v>
      </c>
      <c r="X186" s="4">
        <v>675777.48728663626</v>
      </c>
      <c r="Y186" s="4">
        <v>-54804.457286636229</v>
      </c>
      <c r="AH186" s="4">
        <v>160</v>
      </c>
      <c r="AI186" s="4">
        <v>691072.62709965964</v>
      </c>
      <c r="AJ186" s="4">
        <v>-70099.597099659615</v>
      </c>
      <c r="AS186" s="9"/>
      <c r="AT186" s="9"/>
      <c r="AU186" s="9"/>
    </row>
    <row r="187" spans="1:47">
      <c r="A187" s="4">
        <v>161</v>
      </c>
      <c r="B187" s="4">
        <v>649034.20887662657</v>
      </c>
      <c r="C187" s="4">
        <v>1445.8511233734898</v>
      </c>
      <c r="L187" s="4">
        <v>161</v>
      </c>
      <c r="M187" s="4">
        <v>712390.30458048801</v>
      </c>
      <c r="N187" s="4">
        <v>-61910.244580487953</v>
      </c>
      <c r="W187" s="4">
        <v>161</v>
      </c>
      <c r="X187" s="4">
        <v>673557.80001117417</v>
      </c>
      <c r="Y187" s="4">
        <v>-23077.740011174115</v>
      </c>
      <c r="AH187" s="4">
        <v>161</v>
      </c>
      <c r="AI187" s="4">
        <v>684640.91447076283</v>
      </c>
      <c r="AJ187" s="4">
        <v>-34160.854470762773</v>
      </c>
      <c r="AS187" s="9"/>
      <c r="AT187" s="9"/>
      <c r="AU187" s="9"/>
    </row>
    <row r="188" spans="1:47">
      <c r="A188" s="4">
        <v>162</v>
      </c>
      <c r="B188" s="4">
        <v>663931.52530626161</v>
      </c>
      <c r="C188" s="4">
        <v>114367.35469373839</v>
      </c>
      <c r="L188" s="4">
        <v>162</v>
      </c>
      <c r="M188" s="4">
        <v>695871.37619385554</v>
      </c>
      <c r="N188" s="4">
        <v>82427.503806144465</v>
      </c>
      <c r="W188" s="4">
        <v>162</v>
      </c>
      <c r="X188" s="4">
        <v>693118.79412618384</v>
      </c>
      <c r="Y188" s="4">
        <v>85180.085873816162</v>
      </c>
      <c r="AH188" s="4">
        <v>162</v>
      </c>
      <c r="AI188" s="4">
        <v>686636.96321766183</v>
      </c>
      <c r="AJ188" s="4">
        <v>91661.916782338172</v>
      </c>
      <c r="AS188" s="9"/>
      <c r="AT188" s="9"/>
      <c r="AU188" s="9"/>
    </row>
    <row r="189" spans="1:47">
      <c r="A189" s="4">
        <v>163</v>
      </c>
      <c r="B189" s="4">
        <v>682468.30726650089</v>
      </c>
      <c r="C189" s="4">
        <v>-5371.5972665009322</v>
      </c>
      <c r="L189" s="4">
        <v>163</v>
      </c>
      <c r="M189" s="4">
        <v>733190.59669583745</v>
      </c>
      <c r="N189" s="4">
        <v>-56093.886695837486</v>
      </c>
      <c r="W189" s="4">
        <v>163</v>
      </c>
      <c r="X189" s="4">
        <v>671060.65182627924</v>
      </c>
      <c r="Y189" s="4">
        <v>6036.0581737207249</v>
      </c>
      <c r="AH189" s="4">
        <v>163</v>
      </c>
      <c r="AI189" s="4">
        <v>645828.85550328169</v>
      </c>
      <c r="AJ189" s="4">
        <v>31267.854496718268</v>
      </c>
      <c r="AS189" s="9"/>
      <c r="AT189" s="9"/>
      <c r="AU189" s="9"/>
    </row>
    <row r="190" spans="1:47">
      <c r="A190" s="4">
        <v>164</v>
      </c>
      <c r="B190" s="4">
        <v>703183.36794207199</v>
      </c>
      <c r="C190" s="4">
        <v>-11174.727942071971</v>
      </c>
      <c r="L190" s="4">
        <v>164</v>
      </c>
      <c r="M190" s="4">
        <v>662441.06107879139</v>
      </c>
      <c r="N190" s="4">
        <v>29567.578921208624</v>
      </c>
      <c r="W190" s="4">
        <v>164</v>
      </c>
      <c r="X190" s="4">
        <v>687430.84548281215</v>
      </c>
      <c r="Y190" s="4">
        <v>4577.7945171878673</v>
      </c>
      <c r="AH190" s="4">
        <v>164</v>
      </c>
      <c r="AI190" s="4">
        <v>692846.89265245874</v>
      </c>
      <c r="AJ190" s="4">
        <v>-838.25265245873015</v>
      </c>
      <c r="AS190" s="9"/>
      <c r="AT190" s="9"/>
      <c r="AU190" s="9"/>
    </row>
    <row r="191" spans="1:47">
      <c r="A191" s="4">
        <v>165</v>
      </c>
      <c r="B191" s="4">
        <v>714427.33400996681</v>
      </c>
      <c r="C191" s="4">
        <v>111370.57599003322</v>
      </c>
      <c r="L191" s="4">
        <v>165</v>
      </c>
      <c r="M191" s="4">
        <v>779036.86662418046</v>
      </c>
      <c r="N191" s="4">
        <v>46761.043375819572</v>
      </c>
      <c r="W191" s="4">
        <v>165</v>
      </c>
      <c r="X191" s="4">
        <v>676054.94819606899</v>
      </c>
      <c r="Y191" s="4">
        <v>149742.96180393104</v>
      </c>
      <c r="AH191" s="4">
        <v>165</v>
      </c>
      <c r="AI191" s="4">
        <v>668672.52449557057</v>
      </c>
      <c r="AJ191" s="4">
        <v>157125.38550442946</v>
      </c>
      <c r="AS191" s="9"/>
      <c r="AT191" s="9"/>
      <c r="AU191" s="9"/>
    </row>
    <row r="192" spans="1:47">
      <c r="A192" s="4">
        <v>166</v>
      </c>
      <c r="B192" s="4">
        <v>635958.38211193902</v>
      </c>
      <c r="C192" s="4">
        <v>70327.137888060999</v>
      </c>
      <c r="L192" s="4">
        <v>166</v>
      </c>
      <c r="M192" s="4">
        <v>759984.79803139041</v>
      </c>
      <c r="N192" s="4">
        <v>-53699.278031390393</v>
      </c>
      <c r="W192" s="4">
        <v>166</v>
      </c>
      <c r="X192" s="4">
        <v>680771.78365642589</v>
      </c>
      <c r="Y192" s="4">
        <v>25513.736343574128</v>
      </c>
      <c r="AH192" s="4">
        <v>166</v>
      </c>
      <c r="AI192" s="4">
        <v>675769.58670676709</v>
      </c>
      <c r="AJ192" s="4">
        <v>30515.933293232927</v>
      </c>
      <c r="AS192" s="9"/>
      <c r="AT192" s="9"/>
      <c r="AU192" s="9"/>
    </row>
    <row r="193" spans="1:47">
      <c r="A193" s="4">
        <v>167</v>
      </c>
      <c r="B193" s="4">
        <v>625307.43888551812</v>
      </c>
      <c r="C193" s="4">
        <v>40227.261114481837</v>
      </c>
      <c r="L193" s="4">
        <v>167</v>
      </c>
      <c r="M193" s="4">
        <v>693980.44054700551</v>
      </c>
      <c r="N193" s="4">
        <v>-28445.740547005553</v>
      </c>
      <c r="W193" s="4">
        <v>167</v>
      </c>
      <c r="X193" s="4">
        <v>685349.88866206643</v>
      </c>
      <c r="Y193" s="4">
        <v>-19815.188662066474</v>
      </c>
      <c r="AH193" s="4">
        <v>167</v>
      </c>
      <c r="AI193" s="4">
        <v>685084.48085896252</v>
      </c>
      <c r="AJ193" s="4">
        <v>-19549.780858962564</v>
      </c>
      <c r="AS193" s="9"/>
      <c r="AT193" s="9"/>
      <c r="AU193" s="9"/>
    </row>
    <row r="194" spans="1:47">
      <c r="A194" s="4">
        <v>168</v>
      </c>
      <c r="B194" s="4">
        <v>727804.49568350834</v>
      </c>
      <c r="C194" s="4">
        <v>92924.794316491694</v>
      </c>
      <c r="L194" s="4">
        <v>168</v>
      </c>
      <c r="M194" s="4">
        <v>783211.19625967939</v>
      </c>
      <c r="N194" s="4">
        <v>37518.093740320648</v>
      </c>
      <c r="W194" s="4">
        <v>168</v>
      </c>
      <c r="X194" s="4">
        <v>680355.59229227679</v>
      </c>
      <c r="Y194" s="4">
        <v>140373.69770772324</v>
      </c>
      <c r="AH194" s="4">
        <v>168</v>
      </c>
      <c r="AI194" s="4">
        <v>682644.86572386383</v>
      </c>
      <c r="AJ194" s="4">
        <v>138084.42427613621</v>
      </c>
      <c r="AS194" s="9"/>
      <c r="AT194" s="9"/>
      <c r="AU194" s="9"/>
    </row>
    <row r="195" spans="1:47">
      <c r="A195" s="4">
        <v>169</v>
      </c>
      <c r="B195" s="4">
        <v>692937.04402789311</v>
      </c>
      <c r="C195" s="4">
        <v>46894.685972106876</v>
      </c>
      <c r="L195" s="4">
        <v>169</v>
      </c>
      <c r="M195" s="4">
        <v>780856.44620888517</v>
      </c>
      <c r="N195" s="4">
        <v>-41024.716208885191</v>
      </c>
      <c r="W195" s="4">
        <v>169</v>
      </c>
      <c r="X195" s="4">
        <v>678968.28774511302</v>
      </c>
      <c r="Y195" s="4">
        <v>60863.442254886962</v>
      </c>
      <c r="AH195" s="4">
        <v>169</v>
      </c>
      <c r="AI195" s="4">
        <v>677987.418647766</v>
      </c>
      <c r="AJ195" s="4">
        <v>61844.311352233985</v>
      </c>
      <c r="AS195" s="9"/>
      <c r="AT195" s="9"/>
      <c r="AU195" s="9"/>
    </row>
    <row r="196" spans="1:47">
      <c r="A196" s="4">
        <v>170</v>
      </c>
      <c r="B196" s="4">
        <v>630700.84395167872</v>
      </c>
      <c r="C196" s="4">
        <v>-37063.703951678704</v>
      </c>
      <c r="L196" s="4">
        <v>170</v>
      </c>
      <c r="M196" s="4">
        <v>716707.34634027747</v>
      </c>
      <c r="N196" s="4">
        <v>-123070.20634027745</v>
      </c>
      <c r="W196" s="4">
        <v>170</v>
      </c>
      <c r="X196" s="4">
        <v>684101.31456961902</v>
      </c>
      <c r="Y196" s="4">
        <v>-90464.174569619005</v>
      </c>
      <c r="AH196" s="4">
        <v>170</v>
      </c>
      <c r="AI196" s="4">
        <v>671333.92282476928</v>
      </c>
      <c r="AJ196" s="4">
        <v>-77696.782824769267</v>
      </c>
      <c r="AS196" s="9"/>
      <c r="AT196" s="9"/>
      <c r="AU196" s="9"/>
    </row>
    <row r="197" spans="1:47">
      <c r="A197" s="4">
        <v>171</v>
      </c>
      <c r="B197" s="4">
        <v>669013.18184021628</v>
      </c>
      <c r="C197" s="4">
        <v>100689.57815978373</v>
      </c>
      <c r="L197" s="4">
        <v>171</v>
      </c>
      <c r="M197" s="4">
        <v>765693.28300301288</v>
      </c>
      <c r="N197" s="4">
        <v>4009.4769969871268</v>
      </c>
      <c r="W197" s="4">
        <v>171</v>
      </c>
      <c r="X197" s="4">
        <v>676054.94819606899</v>
      </c>
      <c r="Y197" s="4">
        <v>93647.811803931021</v>
      </c>
      <c r="AH197" s="4">
        <v>171</v>
      </c>
      <c r="AI197" s="4">
        <v>672664.62198936869</v>
      </c>
      <c r="AJ197" s="4">
        <v>97038.138010631315</v>
      </c>
      <c r="AS197" s="9"/>
      <c r="AT197" s="9"/>
      <c r="AU197" s="9"/>
    </row>
    <row r="198" spans="1:47">
      <c r="A198" s="4">
        <v>172</v>
      </c>
      <c r="B198" s="4">
        <v>638733.66597460734</v>
      </c>
      <c r="C198" s="4">
        <v>40997.904025392607</v>
      </c>
      <c r="L198" s="4">
        <v>172</v>
      </c>
      <c r="M198" s="4">
        <v>720096.75929217832</v>
      </c>
      <c r="N198" s="4">
        <v>-40365.189292178373</v>
      </c>
      <c r="W198" s="4">
        <v>172</v>
      </c>
      <c r="X198" s="4">
        <v>681465.43593000784</v>
      </c>
      <c r="Y198" s="4">
        <v>-1733.8659300078871</v>
      </c>
      <c r="AH198" s="4">
        <v>172</v>
      </c>
      <c r="AI198" s="4">
        <v>683975.56488846312</v>
      </c>
      <c r="AJ198" s="4">
        <v>-4243.994888463174</v>
      </c>
      <c r="AS198" s="9"/>
      <c r="AT198" s="9"/>
      <c r="AU198" s="9"/>
    </row>
    <row r="199" spans="1:47">
      <c r="A199" s="4">
        <v>173</v>
      </c>
      <c r="B199" s="4">
        <v>699706.13345992344</v>
      </c>
      <c r="C199" s="4">
        <v>80638.046540076612</v>
      </c>
      <c r="L199" s="4">
        <v>173</v>
      </c>
      <c r="M199" s="4">
        <v>758272.25253990362</v>
      </c>
      <c r="N199" s="4">
        <v>22071.927460096427</v>
      </c>
      <c r="W199" s="4">
        <v>173</v>
      </c>
      <c r="X199" s="4">
        <v>676054.94819606899</v>
      </c>
      <c r="Y199" s="4">
        <v>104289.23180393106</v>
      </c>
      <c r="AH199" s="4">
        <v>173</v>
      </c>
      <c r="AI199" s="4">
        <v>694177.59181705816</v>
      </c>
      <c r="AJ199" s="4">
        <v>86166.588182941894</v>
      </c>
      <c r="AS199" s="9"/>
      <c r="AT199" s="9"/>
      <c r="AU199" s="9"/>
    </row>
    <row r="200" spans="1:47">
      <c r="A200" s="4">
        <v>174</v>
      </c>
      <c r="B200" s="4">
        <v>653724.74760591611</v>
      </c>
      <c r="C200" s="4">
        <v>67639.362394083873</v>
      </c>
      <c r="L200" s="4">
        <v>174</v>
      </c>
      <c r="M200" s="4">
        <v>784638.31750258501</v>
      </c>
      <c r="N200" s="4">
        <v>-63274.207502585021</v>
      </c>
      <c r="W200" s="4">
        <v>174</v>
      </c>
      <c r="X200" s="4">
        <v>682714.01002245524</v>
      </c>
      <c r="Y200" s="4">
        <v>38650.099977544742</v>
      </c>
      <c r="AH200" s="4">
        <v>174</v>
      </c>
      <c r="AI200" s="4">
        <v>682201.29933566402</v>
      </c>
      <c r="AJ200" s="4">
        <v>39162.810664335964</v>
      </c>
      <c r="AS200" s="9"/>
      <c r="AT200" s="9"/>
      <c r="AU200" s="9"/>
    </row>
    <row r="201" spans="1:47">
      <c r="A201" s="4">
        <v>175</v>
      </c>
      <c r="B201" s="4">
        <v>705673.9701749481</v>
      </c>
      <c r="C201" s="4">
        <v>52464.319825051934</v>
      </c>
      <c r="L201" s="4">
        <v>175</v>
      </c>
      <c r="M201" s="4">
        <v>796982.91625371855</v>
      </c>
      <c r="N201" s="4">
        <v>-38844.62625371851</v>
      </c>
      <c r="W201" s="4">
        <v>175</v>
      </c>
      <c r="X201" s="4">
        <v>680494.32274699316</v>
      </c>
      <c r="Y201" s="4">
        <v>77643.967253006878</v>
      </c>
      <c r="AH201" s="4">
        <v>175</v>
      </c>
      <c r="AI201" s="4">
        <v>670890.35643656948</v>
      </c>
      <c r="AJ201" s="4">
        <v>87247.933563430561</v>
      </c>
      <c r="AS201" s="9"/>
      <c r="AT201" s="9"/>
      <c r="AU201" s="9"/>
    </row>
    <row r="202" spans="1:47">
      <c r="A202" s="4">
        <v>176</v>
      </c>
      <c r="B202" s="4">
        <v>695034.16462749057</v>
      </c>
      <c r="C202" s="4">
        <v>109229.83537250943</v>
      </c>
      <c r="L202" s="4">
        <v>176</v>
      </c>
      <c r="M202" s="4">
        <v>817533.46215155954</v>
      </c>
      <c r="N202" s="4">
        <v>-13269.462151559535</v>
      </c>
      <c r="W202" s="4">
        <v>176</v>
      </c>
      <c r="X202" s="4">
        <v>675777.48728663626</v>
      </c>
      <c r="Y202" s="4">
        <v>128486.51271336374</v>
      </c>
      <c r="AH202" s="4">
        <v>176</v>
      </c>
      <c r="AI202" s="4">
        <v>693068.67584655876</v>
      </c>
      <c r="AJ202" s="4">
        <v>111195.32415344124</v>
      </c>
      <c r="AS202" s="9"/>
      <c r="AT202" s="9"/>
      <c r="AU202" s="9"/>
    </row>
    <row r="203" spans="1:47">
      <c r="A203" s="4">
        <v>177</v>
      </c>
      <c r="B203" s="4">
        <v>704511.09427156439</v>
      </c>
      <c r="C203" s="4">
        <v>183026.65572843561</v>
      </c>
      <c r="L203" s="4">
        <v>177</v>
      </c>
      <c r="M203" s="4">
        <v>887426.7250228622</v>
      </c>
      <c r="N203" s="4">
        <v>111.02497713780031</v>
      </c>
      <c r="W203" s="4">
        <v>177</v>
      </c>
      <c r="X203" s="4">
        <v>691454.02866958722</v>
      </c>
      <c r="Y203" s="4">
        <v>196083.72133041278</v>
      </c>
      <c r="AH203" s="4">
        <v>177</v>
      </c>
      <c r="AI203" s="4">
        <v>654700.18326727743</v>
      </c>
      <c r="AJ203" s="4">
        <v>232837.56673272257</v>
      </c>
      <c r="AS203" s="9"/>
      <c r="AT203" s="9"/>
      <c r="AU203" s="9"/>
    </row>
    <row r="204" spans="1:47">
      <c r="A204" s="4">
        <v>178</v>
      </c>
      <c r="B204" s="4">
        <v>623364.11621607933</v>
      </c>
      <c r="C204" s="4">
        <v>160217.88378392067</v>
      </c>
      <c r="L204" s="4">
        <v>178</v>
      </c>
      <c r="M204" s="4">
        <v>729158.97918462905</v>
      </c>
      <c r="N204" s="4">
        <v>54423.020815370954</v>
      </c>
      <c r="W204" s="4">
        <v>178</v>
      </c>
      <c r="X204" s="4">
        <v>673280.33910174132</v>
      </c>
      <c r="Y204" s="4">
        <v>110301.66089825868</v>
      </c>
      <c r="AH204" s="4">
        <v>178</v>
      </c>
      <c r="AI204" s="4">
        <v>686415.18002356193</v>
      </c>
      <c r="AJ204" s="4">
        <v>97166.81997643807</v>
      </c>
      <c r="AS204" s="9"/>
      <c r="AT204" s="9"/>
      <c r="AU204" s="9"/>
    </row>
    <row r="205" spans="1:47">
      <c r="A205" s="4">
        <v>179</v>
      </c>
      <c r="B205" s="4">
        <v>647099.87301507022</v>
      </c>
      <c r="C205" s="4">
        <v>134855.6469849298</v>
      </c>
      <c r="L205" s="4">
        <v>179</v>
      </c>
      <c r="M205" s="4">
        <v>762874.71854827437</v>
      </c>
      <c r="N205" s="4">
        <v>19080.801451725652</v>
      </c>
      <c r="W205" s="4">
        <v>179</v>
      </c>
      <c r="X205" s="4">
        <v>692147.68094316917</v>
      </c>
      <c r="Y205" s="4">
        <v>89807.839056830853</v>
      </c>
      <c r="AH205" s="4">
        <v>179</v>
      </c>
      <c r="AI205" s="4">
        <v>676878.5026772666</v>
      </c>
      <c r="AJ205" s="4">
        <v>105077.01732273342</v>
      </c>
      <c r="AS205" s="9"/>
      <c r="AT205" s="9"/>
      <c r="AU205" s="9"/>
    </row>
    <row r="206" spans="1:47">
      <c r="A206" s="4">
        <v>180</v>
      </c>
      <c r="B206" s="4">
        <v>720243.26811687439</v>
      </c>
      <c r="C206" s="4">
        <v>177787.77188312565</v>
      </c>
      <c r="L206" s="4">
        <v>180</v>
      </c>
      <c r="M206" s="4">
        <v>803155.21562928543</v>
      </c>
      <c r="N206" s="4">
        <v>94875.824370714603</v>
      </c>
      <c r="W206" s="4">
        <v>180</v>
      </c>
      <c r="X206" s="4">
        <v>696032.13367522776</v>
      </c>
      <c r="Y206" s="4">
        <v>201998.90632477228</v>
      </c>
      <c r="AH206" s="4">
        <v>180</v>
      </c>
      <c r="AI206" s="4">
        <v>683531.99850026332</v>
      </c>
      <c r="AJ206" s="4">
        <v>214499.04149973672</v>
      </c>
      <c r="AS206" s="9"/>
      <c r="AT206" s="9"/>
      <c r="AU206" s="9"/>
    </row>
    <row r="207" spans="1:47">
      <c r="A207" s="4">
        <v>181</v>
      </c>
      <c r="B207" s="4">
        <v>706634.32346467802</v>
      </c>
      <c r="C207" s="4">
        <v>148706.95653532201</v>
      </c>
      <c r="L207" s="4">
        <v>181</v>
      </c>
      <c r="M207" s="4">
        <v>844363.3415181851</v>
      </c>
      <c r="N207" s="4">
        <v>10977.938481814926</v>
      </c>
      <c r="W207" s="4">
        <v>181</v>
      </c>
      <c r="X207" s="4">
        <v>697696.89913182438</v>
      </c>
      <c r="Y207" s="4">
        <v>157644.38086817565</v>
      </c>
      <c r="AH207" s="4">
        <v>181</v>
      </c>
      <c r="AI207" s="4">
        <v>683088.43211206351</v>
      </c>
      <c r="AJ207" s="4">
        <v>172252.84788793651</v>
      </c>
      <c r="AS207" s="9"/>
      <c r="AT207" s="9"/>
      <c r="AU207" s="9"/>
    </row>
    <row r="208" spans="1:47">
      <c r="A208" s="4">
        <v>182</v>
      </c>
      <c r="B208" s="4">
        <v>657053.84882827743</v>
      </c>
      <c r="C208" s="4">
        <v>94340.03117172257</v>
      </c>
      <c r="L208" s="4">
        <v>182</v>
      </c>
      <c r="M208" s="4">
        <v>777752.45750556537</v>
      </c>
      <c r="N208" s="4">
        <v>-26358.577505565365</v>
      </c>
      <c r="W208" s="4">
        <v>182</v>
      </c>
      <c r="X208" s="4">
        <v>678274.63547153107</v>
      </c>
      <c r="Y208" s="4">
        <v>73119.244528468931</v>
      </c>
      <c r="AH208" s="4">
        <v>182</v>
      </c>
      <c r="AI208" s="4">
        <v>676434.9362890668</v>
      </c>
      <c r="AJ208" s="4">
        <v>74958.943710933207</v>
      </c>
      <c r="AS208" s="9"/>
      <c r="AT208" s="9"/>
      <c r="AU208" s="9"/>
    </row>
    <row r="209" spans="1:47">
      <c r="A209" s="4">
        <v>183</v>
      </c>
      <c r="B209" s="4">
        <v>694962.37664319749</v>
      </c>
      <c r="C209" s="4">
        <v>66114.703356802464</v>
      </c>
      <c r="L209" s="4">
        <v>183</v>
      </c>
      <c r="M209" s="4">
        <v>796483.42381870165</v>
      </c>
      <c r="N209" s="4">
        <v>-35406.343818701687</v>
      </c>
      <c r="W209" s="4">
        <v>183</v>
      </c>
      <c r="X209" s="4">
        <v>682159.08820358966</v>
      </c>
      <c r="Y209" s="4">
        <v>78917.991796410293</v>
      </c>
      <c r="AH209" s="4">
        <v>183</v>
      </c>
      <c r="AI209" s="4">
        <v>655143.74965547724</v>
      </c>
      <c r="AJ209" s="4">
        <v>105933.33034452272</v>
      </c>
      <c r="AS209" s="9"/>
      <c r="AT209" s="9"/>
      <c r="AU209" s="9"/>
    </row>
    <row r="210" spans="1:47">
      <c r="A210" s="4">
        <v>184</v>
      </c>
      <c r="B210" s="4">
        <v>684183.85055890062</v>
      </c>
      <c r="C210" s="4">
        <v>135476.73944109934</v>
      </c>
      <c r="L210" s="4">
        <v>184</v>
      </c>
      <c r="M210" s="4">
        <v>829628.31468518462</v>
      </c>
      <c r="N210" s="4">
        <v>-9967.7246851846576</v>
      </c>
      <c r="W210" s="4">
        <v>184</v>
      </c>
      <c r="X210" s="4">
        <v>688124.49775639409</v>
      </c>
      <c r="Y210" s="4">
        <v>131536.09224360588</v>
      </c>
      <c r="AH210" s="4">
        <v>184</v>
      </c>
      <c r="AI210" s="4">
        <v>684640.91447076283</v>
      </c>
      <c r="AJ210" s="4">
        <v>135019.67552923714</v>
      </c>
      <c r="AS210" s="9"/>
      <c r="AT210" s="9"/>
      <c r="AU210" s="9"/>
    </row>
    <row r="211" spans="1:47">
      <c r="A211" s="4">
        <v>185</v>
      </c>
      <c r="B211" s="4">
        <v>713982.44442828</v>
      </c>
      <c r="C211" s="4">
        <v>-32126.88442827994</v>
      </c>
      <c r="L211" s="4">
        <v>185</v>
      </c>
      <c r="M211" s="4">
        <v>663475.72397989803</v>
      </c>
      <c r="N211" s="4">
        <v>18379.836020102026</v>
      </c>
      <c r="W211" s="4">
        <v>185</v>
      </c>
      <c r="X211" s="4">
        <v>687847.03684696136</v>
      </c>
      <c r="Y211" s="4">
        <v>-5991.4768469613045</v>
      </c>
      <c r="AH211" s="4">
        <v>185</v>
      </c>
      <c r="AI211" s="4">
        <v>692625.10945835896</v>
      </c>
      <c r="AJ211" s="4">
        <v>-10769.549458358902</v>
      </c>
      <c r="AS211" s="9"/>
      <c r="AT211" s="9"/>
      <c r="AU211" s="9"/>
    </row>
    <row r="212" spans="1:47">
      <c r="A212" s="4">
        <v>186</v>
      </c>
      <c r="B212" s="4">
        <v>682478.06072150124</v>
      </c>
      <c r="C212" s="4">
        <v>-4166.8907215012005</v>
      </c>
      <c r="L212" s="4">
        <v>186</v>
      </c>
      <c r="M212" s="4">
        <v>633791.60212746111</v>
      </c>
      <c r="N212" s="4">
        <v>44519.56787253893</v>
      </c>
      <c r="W212" s="4">
        <v>186</v>
      </c>
      <c r="X212" s="4">
        <v>675500.02637720341</v>
      </c>
      <c r="Y212" s="4">
        <v>2811.1436227966333</v>
      </c>
      <c r="AH212" s="4">
        <v>186</v>
      </c>
      <c r="AI212" s="4">
        <v>696617.20695215696</v>
      </c>
      <c r="AJ212" s="4">
        <v>-18306.036952156923</v>
      </c>
      <c r="AS212" s="9"/>
      <c r="AT212" s="9"/>
      <c r="AU212" s="9"/>
    </row>
    <row r="213" spans="1:47">
      <c r="A213" s="4">
        <v>187</v>
      </c>
      <c r="B213" s="4">
        <v>663064.55389464647</v>
      </c>
      <c r="C213" s="4">
        <v>102842.39610535349</v>
      </c>
      <c r="L213" s="4">
        <v>187</v>
      </c>
      <c r="M213" s="4">
        <v>678888.63340327865</v>
      </c>
      <c r="N213" s="4">
        <v>87018.316596721299</v>
      </c>
      <c r="W213" s="4">
        <v>187</v>
      </c>
      <c r="X213" s="4">
        <v>688540.68912054319</v>
      </c>
      <c r="Y213" s="4">
        <v>77366.260879456764</v>
      </c>
      <c r="AH213" s="4">
        <v>187</v>
      </c>
      <c r="AI213" s="4">
        <v>704379.61874565319</v>
      </c>
      <c r="AJ213" s="4">
        <v>61527.331254346762</v>
      </c>
      <c r="AS213" s="9"/>
      <c r="AT213" s="9"/>
      <c r="AU213" s="9"/>
    </row>
    <row r="214" spans="1:47">
      <c r="A214" s="4">
        <v>188</v>
      </c>
      <c r="B214" s="4">
        <v>715778.05975299713</v>
      </c>
      <c r="C214" s="4">
        <v>-3231.6797529971227</v>
      </c>
      <c r="L214" s="4">
        <v>188</v>
      </c>
      <c r="M214" s="4">
        <v>729408.7254021375</v>
      </c>
      <c r="N214" s="4">
        <v>-16862.345402137493</v>
      </c>
      <c r="W214" s="4">
        <v>188</v>
      </c>
      <c r="X214" s="4">
        <v>684794.96684320096</v>
      </c>
      <c r="Y214" s="4">
        <v>27751.413156799041</v>
      </c>
      <c r="AH214" s="4">
        <v>188</v>
      </c>
      <c r="AI214" s="4">
        <v>650929.86896757921</v>
      </c>
      <c r="AJ214" s="4">
        <v>61616.511032420793</v>
      </c>
      <c r="AS214" s="9"/>
      <c r="AT214" s="9"/>
      <c r="AU214" s="9"/>
    </row>
    <row r="215" spans="1:47">
      <c r="A215" s="4">
        <v>189</v>
      </c>
      <c r="B215" s="4">
        <v>713344.16811109474</v>
      </c>
      <c r="C215" s="4">
        <v>-87350.338111094781</v>
      </c>
      <c r="L215" s="4">
        <v>189</v>
      </c>
      <c r="M215" s="4">
        <v>571497.75987463084</v>
      </c>
      <c r="N215" s="4">
        <v>54496.070125369122</v>
      </c>
      <c r="W215" s="4">
        <v>189</v>
      </c>
      <c r="X215" s="4">
        <v>697835.62958654074</v>
      </c>
      <c r="Y215" s="4">
        <v>-71841.799586540787</v>
      </c>
      <c r="AH215" s="4">
        <v>189</v>
      </c>
      <c r="AI215" s="4">
        <v>676434.9362890668</v>
      </c>
      <c r="AJ215" s="4">
        <v>-50441.10628906684</v>
      </c>
      <c r="AS215" s="9"/>
      <c r="AT215" s="9"/>
      <c r="AU215" s="9"/>
    </row>
    <row r="216" spans="1:47">
      <c r="A216" s="4">
        <v>190</v>
      </c>
      <c r="B216" s="4">
        <v>679583.39286596817</v>
      </c>
      <c r="C216" s="4">
        <v>-128620.46286596812</v>
      </c>
      <c r="L216" s="4">
        <v>190</v>
      </c>
      <c r="M216" s="4">
        <v>528898.19077389815</v>
      </c>
      <c r="N216" s="4">
        <v>22064.739226101898</v>
      </c>
      <c r="W216" s="4">
        <v>190</v>
      </c>
      <c r="X216" s="4">
        <v>689789.26321299071</v>
      </c>
      <c r="Y216" s="4">
        <v>-138826.33321299066</v>
      </c>
      <c r="AH216" s="4">
        <v>190</v>
      </c>
      <c r="AI216" s="4">
        <v>687302.31279996154</v>
      </c>
      <c r="AJ216" s="4">
        <v>-136339.38279996149</v>
      </c>
      <c r="AS216" s="9"/>
      <c r="AT216" s="9"/>
      <c r="AU216" s="9"/>
    </row>
    <row r="217" spans="1:47">
      <c r="A217" s="4">
        <v>191</v>
      </c>
      <c r="B217" s="4">
        <v>641074.85720249976</v>
      </c>
      <c r="C217" s="4">
        <v>-197799.26720249973</v>
      </c>
      <c r="L217" s="4">
        <v>191</v>
      </c>
      <c r="M217" s="4">
        <v>491650.32633406157</v>
      </c>
      <c r="N217" s="4">
        <v>-48374.736334061541</v>
      </c>
      <c r="W217" s="4">
        <v>191</v>
      </c>
      <c r="X217" s="4">
        <v>661904.44181499816</v>
      </c>
      <c r="Y217" s="4">
        <v>-218628.85181499814</v>
      </c>
      <c r="AH217" s="4">
        <v>191</v>
      </c>
      <c r="AI217" s="4">
        <v>671333.92282476928</v>
      </c>
      <c r="AJ217" s="4">
        <v>-228058.33282476926</v>
      </c>
      <c r="AS217" s="9"/>
      <c r="AT217" s="9"/>
      <c r="AU217" s="9"/>
    </row>
    <row r="218" spans="1:47">
      <c r="A218" s="4">
        <v>192</v>
      </c>
      <c r="B218" s="4">
        <v>677831.9662292985</v>
      </c>
      <c r="C218" s="4">
        <v>-123819.89622929855</v>
      </c>
      <c r="L218" s="4">
        <v>192</v>
      </c>
      <c r="M218" s="4">
        <v>604214.51436824212</v>
      </c>
      <c r="N218" s="4">
        <v>-50202.44436824217</v>
      </c>
      <c r="W218" s="4">
        <v>192</v>
      </c>
      <c r="X218" s="4">
        <v>672031.76500929391</v>
      </c>
      <c r="Y218" s="4">
        <v>-118019.69500929397</v>
      </c>
      <c r="AH218" s="4">
        <v>192</v>
      </c>
      <c r="AI218" s="4">
        <v>681535.94975336432</v>
      </c>
      <c r="AJ218" s="4">
        <v>-127523.87975336437</v>
      </c>
      <c r="AS218" s="9"/>
      <c r="AT218" s="9"/>
      <c r="AU218" s="9"/>
    </row>
    <row r="219" spans="1:47">
      <c r="A219" s="4">
        <v>193</v>
      </c>
      <c r="B219" s="4">
        <v>734969.66483071703</v>
      </c>
      <c r="C219" s="4">
        <v>-91540.814830717049</v>
      </c>
      <c r="L219" s="4">
        <v>193</v>
      </c>
      <c r="M219" s="4">
        <v>666793.78086965356</v>
      </c>
      <c r="N219" s="4">
        <v>-23364.930869653588</v>
      </c>
      <c r="W219" s="4">
        <v>193</v>
      </c>
      <c r="X219" s="4">
        <v>675083.83501305431</v>
      </c>
      <c r="Y219" s="4">
        <v>-31654.985013054335</v>
      </c>
      <c r="AH219" s="4">
        <v>193</v>
      </c>
      <c r="AI219" s="4">
        <v>679761.68420056521</v>
      </c>
      <c r="AJ219" s="4">
        <v>-36332.834200565238</v>
      </c>
      <c r="AS219" s="9"/>
      <c r="AT219" s="9"/>
      <c r="AU219" s="9"/>
    </row>
    <row r="220" spans="1:47">
      <c r="A220" s="4">
        <v>194</v>
      </c>
      <c r="B220" s="4">
        <v>669669.83639247855</v>
      </c>
      <c r="C220" s="4">
        <v>-57745.566392478533</v>
      </c>
      <c r="L220" s="4">
        <v>194</v>
      </c>
      <c r="M220" s="4">
        <v>630152.4429580518</v>
      </c>
      <c r="N220" s="4">
        <v>-18228.172958051786</v>
      </c>
      <c r="W220" s="4">
        <v>194</v>
      </c>
      <c r="X220" s="4">
        <v>677026.06137908367</v>
      </c>
      <c r="Y220" s="4">
        <v>-65101.791379083646</v>
      </c>
      <c r="AH220" s="4">
        <v>194</v>
      </c>
      <c r="AI220" s="4">
        <v>681092.38336516451</v>
      </c>
      <c r="AJ220" s="4">
        <v>-69168.113365164492</v>
      </c>
      <c r="AS220" s="9"/>
      <c r="AT220" s="9"/>
      <c r="AU220" s="9"/>
    </row>
    <row r="221" spans="1:47">
      <c r="A221" s="4">
        <v>195</v>
      </c>
      <c r="B221" s="4">
        <v>646429.24844865885</v>
      </c>
      <c r="C221" s="4">
        <v>-87007.228448658832</v>
      </c>
      <c r="L221" s="4">
        <v>195</v>
      </c>
      <c r="M221" s="4">
        <v>581380.57448175224</v>
      </c>
      <c r="N221" s="4">
        <v>-21958.554481752217</v>
      </c>
      <c r="W221" s="4">
        <v>195</v>
      </c>
      <c r="X221" s="4">
        <v>685488.61911678291</v>
      </c>
      <c r="Y221" s="4">
        <v>-126066.59911678289</v>
      </c>
      <c r="AH221" s="4">
        <v>195</v>
      </c>
      <c r="AI221" s="4">
        <v>676878.5026772666</v>
      </c>
      <c r="AJ221" s="4">
        <v>-117456.48267726658</v>
      </c>
      <c r="AS221" s="9"/>
      <c r="AT221" s="9"/>
      <c r="AU221" s="9"/>
    </row>
    <row r="222" spans="1:47">
      <c r="A222" s="4">
        <v>196</v>
      </c>
      <c r="B222" s="4">
        <v>649490.42779905617</v>
      </c>
      <c r="C222" s="4">
        <v>-200025.36779905617</v>
      </c>
      <c r="L222" s="4">
        <v>196</v>
      </c>
      <c r="M222" s="4">
        <v>558261.2103466813</v>
      </c>
      <c r="N222" s="4">
        <v>-108796.1503466813</v>
      </c>
      <c r="W222" s="4">
        <v>196</v>
      </c>
      <c r="X222" s="4">
        <v>666066.3554564896</v>
      </c>
      <c r="Y222" s="4">
        <v>-216601.29545648961</v>
      </c>
      <c r="AH222" s="4">
        <v>196</v>
      </c>
      <c r="AI222" s="4">
        <v>674217.10434806789</v>
      </c>
      <c r="AJ222" s="4">
        <v>-224752.0443480679</v>
      </c>
      <c r="AS222" s="9"/>
      <c r="AT222" s="9"/>
      <c r="AU222" s="9"/>
    </row>
    <row r="223" spans="1:47">
      <c r="A223" s="4">
        <v>197</v>
      </c>
      <c r="B223" s="4">
        <v>713790.42062099115</v>
      </c>
      <c r="C223" s="4">
        <v>-22342.990620991099</v>
      </c>
      <c r="L223" s="4">
        <v>197</v>
      </c>
      <c r="M223" s="4">
        <v>623730.39736497658</v>
      </c>
      <c r="N223" s="4">
        <v>67717.032635023468</v>
      </c>
      <c r="W223" s="4">
        <v>197</v>
      </c>
      <c r="X223" s="4">
        <v>684240.04502433538</v>
      </c>
      <c r="Y223" s="4">
        <v>7207.3849756646669</v>
      </c>
      <c r="AH223" s="4">
        <v>197</v>
      </c>
      <c r="AI223" s="4">
        <v>683531.99850026332</v>
      </c>
      <c r="AJ223" s="4">
        <v>7915.4314997367328</v>
      </c>
      <c r="AS223" s="9"/>
      <c r="AT223" s="9"/>
      <c r="AU223" s="9"/>
    </row>
    <row r="224" spans="1:47">
      <c r="A224" s="4">
        <v>198</v>
      </c>
      <c r="B224" s="4">
        <v>675780.43983746483</v>
      </c>
      <c r="C224" s="4">
        <v>-101713.82983746484</v>
      </c>
      <c r="L224" s="4">
        <v>198</v>
      </c>
      <c r="M224" s="4">
        <v>602180.86659710167</v>
      </c>
      <c r="N224" s="4">
        <v>-28114.256597101688</v>
      </c>
      <c r="W224" s="4">
        <v>198</v>
      </c>
      <c r="X224" s="4">
        <v>694089.90730919852</v>
      </c>
      <c r="Y224" s="4">
        <v>-120023.29730919853</v>
      </c>
      <c r="AH224" s="4">
        <v>198</v>
      </c>
      <c r="AI224" s="4">
        <v>685749.83044126222</v>
      </c>
      <c r="AJ224" s="4">
        <v>-111683.22044126224</v>
      </c>
      <c r="AS224" s="9"/>
      <c r="AT224" s="9"/>
      <c r="AU224" s="9"/>
    </row>
    <row r="225" spans="1:47">
      <c r="A225" s="4">
        <v>199</v>
      </c>
      <c r="B225" s="4">
        <v>676795.18248106143</v>
      </c>
      <c r="C225" s="4">
        <v>-97845.342481061467</v>
      </c>
      <c r="L225" s="4">
        <v>199</v>
      </c>
      <c r="M225" s="4">
        <v>625228.87467002741</v>
      </c>
      <c r="N225" s="4">
        <v>-46279.034670027439</v>
      </c>
      <c r="W225" s="4">
        <v>199</v>
      </c>
      <c r="X225" s="4">
        <v>658436.18044708867</v>
      </c>
      <c r="Y225" s="4">
        <v>-79486.340447088704</v>
      </c>
      <c r="AH225" s="4">
        <v>199</v>
      </c>
      <c r="AI225" s="4">
        <v>675547.80351266731</v>
      </c>
      <c r="AJ225" s="4">
        <v>-96597.963512667338</v>
      </c>
      <c r="AS225" s="9"/>
      <c r="AT225" s="9"/>
      <c r="AU225" s="9"/>
    </row>
    <row r="226" spans="1:47">
      <c r="A226" s="4">
        <v>200</v>
      </c>
      <c r="B226" s="4">
        <v>691515.80804576632</v>
      </c>
      <c r="C226" s="4">
        <v>44270.831954233698</v>
      </c>
      <c r="L226" s="4">
        <v>200</v>
      </c>
      <c r="M226" s="4">
        <v>645315.60616392398</v>
      </c>
      <c r="N226" s="4">
        <v>90471.033836076036</v>
      </c>
      <c r="W226" s="4">
        <v>200</v>
      </c>
      <c r="X226" s="4">
        <v>671615.57364514482</v>
      </c>
      <c r="Y226" s="4">
        <v>64171.066354855197</v>
      </c>
      <c r="AH226" s="4">
        <v>200</v>
      </c>
      <c r="AI226" s="4">
        <v>684419.13127666293</v>
      </c>
      <c r="AJ226" s="4">
        <v>51367.508723337087</v>
      </c>
      <c r="AS226" s="9"/>
      <c r="AT226" s="9"/>
      <c r="AU226" s="9"/>
    </row>
    <row r="227" spans="1:47">
      <c r="A227" s="4">
        <v>201</v>
      </c>
      <c r="B227" s="4">
        <v>608294.41066367598</v>
      </c>
      <c r="C227" s="4">
        <v>-9389.5106636759592</v>
      </c>
      <c r="L227" s="4">
        <v>201</v>
      </c>
      <c r="M227" s="4">
        <v>658873.2579715274</v>
      </c>
      <c r="N227" s="4">
        <v>-59968.357971527381</v>
      </c>
      <c r="W227" s="4">
        <v>201</v>
      </c>
      <c r="X227" s="4">
        <v>680771.78365642589</v>
      </c>
      <c r="Y227" s="4">
        <v>-81866.883656425867</v>
      </c>
      <c r="AH227" s="4">
        <v>201</v>
      </c>
      <c r="AI227" s="4">
        <v>671555.70601886918</v>
      </c>
      <c r="AJ227" s="4">
        <v>-72650.80601886916</v>
      </c>
      <c r="AS227" s="9"/>
      <c r="AT227" s="9"/>
      <c r="AU227" s="9"/>
    </row>
    <row r="228" spans="1:47">
      <c r="A228" s="4">
        <v>202</v>
      </c>
      <c r="B228" s="4">
        <v>727122.6695508738</v>
      </c>
      <c r="C228" s="4">
        <v>60592.840449126204</v>
      </c>
      <c r="L228" s="4">
        <v>202</v>
      </c>
      <c r="M228" s="4">
        <v>674357.52345705335</v>
      </c>
      <c r="N228" s="4">
        <v>113357.98654294666</v>
      </c>
      <c r="W228" s="4">
        <v>202</v>
      </c>
      <c r="X228" s="4">
        <v>677026.06137908367</v>
      </c>
      <c r="Y228" s="4">
        <v>110689.44862091634</v>
      </c>
      <c r="AH228" s="4">
        <v>202</v>
      </c>
      <c r="AI228" s="4">
        <v>670890.35643656948</v>
      </c>
      <c r="AJ228" s="4">
        <v>116825.15356343053</v>
      </c>
      <c r="AS228" s="9"/>
      <c r="AT228" s="9"/>
      <c r="AU228" s="9"/>
    </row>
    <row r="229" spans="1:47">
      <c r="A229" s="4">
        <v>203</v>
      </c>
      <c r="B229" s="4">
        <v>635745.27550890716</v>
      </c>
      <c r="C229" s="4">
        <v>-28660.355508907116</v>
      </c>
      <c r="L229" s="4">
        <v>203</v>
      </c>
      <c r="M229" s="4">
        <v>692446.28521088208</v>
      </c>
      <c r="N229" s="4">
        <v>-85361.365210882039</v>
      </c>
      <c r="W229" s="4">
        <v>203</v>
      </c>
      <c r="X229" s="4">
        <v>693396.25503561657</v>
      </c>
      <c r="Y229" s="4">
        <v>-86311.335035616532</v>
      </c>
      <c r="AH229" s="4">
        <v>203</v>
      </c>
      <c r="AI229" s="4">
        <v>664015.07741947286</v>
      </c>
      <c r="AJ229" s="4">
        <v>-56930.157419472816</v>
      </c>
      <c r="AS229" s="9"/>
      <c r="AT229" s="9"/>
      <c r="AU229" s="9"/>
    </row>
    <row r="230" spans="1:47">
      <c r="A230" s="4">
        <v>204</v>
      </c>
      <c r="B230" s="4">
        <v>697292.23853034712</v>
      </c>
      <c r="C230" s="4">
        <v>-46496.748530347133</v>
      </c>
      <c r="L230" s="4">
        <v>204</v>
      </c>
      <c r="M230" s="4">
        <v>661013.93983588577</v>
      </c>
      <c r="N230" s="4">
        <v>-10218.449835885782</v>
      </c>
      <c r="W230" s="4">
        <v>204</v>
      </c>
      <c r="X230" s="4">
        <v>680216.86183756043</v>
      </c>
      <c r="Y230" s="4">
        <v>-29421.371837560437</v>
      </c>
      <c r="AH230" s="4">
        <v>204</v>
      </c>
      <c r="AI230" s="4">
        <v>681535.94975336432</v>
      </c>
      <c r="AJ230" s="4">
        <v>-30740.459753364325</v>
      </c>
      <c r="AS230" s="9"/>
      <c r="AT230" s="9"/>
      <c r="AU230" s="9"/>
    </row>
    <row r="231" spans="1:47">
      <c r="A231" s="4">
        <v>205</v>
      </c>
      <c r="B231" s="4">
        <v>756890.23550773016</v>
      </c>
      <c r="C231" s="4">
        <v>68170.284492269857</v>
      </c>
      <c r="L231" s="4">
        <v>205</v>
      </c>
      <c r="M231" s="4">
        <v>784495.60537829436</v>
      </c>
      <c r="N231" s="4">
        <v>40564.914621705655</v>
      </c>
      <c r="W231" s="4">
        <v>205</v>
      </c>
      <c r="X231" s="4">
        <v>688124.49775639409</v>
      </c>
      <c r="Y231" s="4">
        <v>136936.02224360593</v>
      </c>
      <c r="AH231" s="4">
        <v>205</v>
      </c>
      <c r="AI231" s="4">
        <v>693955.80862295826</v>
      </c>
      <c r="AJ231" s="4">
        <v>131104.71137704176</v>
      </c>
      <c r="AS231" s="9"/>
      <c r="AT231" s="9"/>
      <c r="AU231" s="9"/>
    </row>
    <row r="232" spans="1:47">
      <c r="A232" s="4">
        <v>206</v>
      </c>
      <c r="B232" s="4">
        <v>676415.13846809976</v>
      </c>
      <c r="C232" s="4">
        <v>119049.33153190021</v>
      </c>
      <c r="L232" s="4">
        <v>206</v>
      </c>
      <c r="M232" s="4">
        <v>727375.07763099705</v>
      </c>
      <c r="N232" s="4">
        <v>68089.392369002919</v>
      </c>
      <c r="W232" s="4">
        <v>206</v>
      </c>
      <c r="X232" s="4">
        <v>682991.47093188798</v>
      </c>
      <c r="Y232" s="4">
        <v>112472.999068112</v>
      </c>
      <c r="AH232" s="4">
        <v>206</v>
      </c>
      <c r="AI232" s="4">
        <v>693512.24223475845</v>
      </c>
      <c r="AJ232" s="4">
        <v>101952.22776524152</v>
      </c>
      <c r="AS232" s="9"/>
      <c r="AT232" s="9"/>
      <c r="AU232" s="9"/>
    </row>
    <row r="233" spans="1:47">
      <c r="A233" s="4">
        <v>207</v>
      </c>
      <c r="B233" s="4">
        <v>641665.75046864618</v>
      </c>
      <c r="C233" s="4">
        <v>30202.839531353791</v>
      </c>
      <c r="L233" s="4">
        <v>207</v>
      </c>
      <c r="M233" s="4">
        <v>777609.74538127473</v>
      </c>
      <c r="N233" s="4">
        <v>-105741.15538127476</v>
      </c>
      <c r="W233" s="4">
        <v>207</v>
      </c>
      <c r="X233" s="4">
        <v>677164.79183380003</v>
      </c>
      <c r="Y233" s="4">
        <v>-5296.2018338000635</v>
      </c>
      <c r="AH233" s="4">
        <v>207</v>
      </c>
      <c r="AI233" s="4">
        <v>669337.87407787028</v>
      </c>
      <c r="AJ233" s="4">
        <v>2530.7159221296897</v>
      </c>
      <c r="AS233" s="9"/>
      <c r="AT233" s="9"/>
      <c r="AU233" s="9"/>
    </row>
    <row r="234" spans="1:47">
      <c r="A234" s="4">
        <v>208</v>
      </c>
      <c r="B234" s="4">
        <v>680914.84595228394</v>
      </c>
      <c r="C234" s="4">
        <v>-4997.2159522839356</v>
      </c>
      <c r="L234" s="4">
        <v>208</v>
      </c>
      <c r="M234" s="4">
        <v>742645.27493008715</v>
      </c>
      <c r="N234" s="4">
        <v>-66727.644930087146</v>
      </c>
      <c r="W234" s="4">
        <v>208</v>
      </c>
      <c r="X234" s="4">
        <v>681742.89683944057</v>
      </c>
      <c r="Y234" s="4">
        <v>-5825.2668394405628</v>
      </c>
      <c r="AH234" s="4">
        <v>208</v>
      </c>
      <c r="AI234" s="4">
        <v>692403.32626425906</v>
      </c>
      <c r="AJ234" s="4">
        <v>-16485.696264259052</v>
      </c>
      <c r="AS234" s="9"/>
      <c r="AT234" s="9"/>
      <c r="AU234" s="9"/>
    </row>
    <row r="235" spans="1:47">
      <c r="A235" s="4">
        <v>209</v>
      </c>
      <c r="B235" s="4">
        <v>695914.21163161704</v>
      </c>
      <c r="C235" s="4">
        <v>114532.31836838298</v>
      </c>
      <c r="L235" s="4">
        <v>209</v>
      </c>
      <c r="M235" s="4">
        <v>807650.64754443802</v>
      </c>
      <c r="N235" s="4">
        <v>2795.8824555620085</v>
      </c>
      <c r="W235" s="4">
        <v>209</v>
      </c>
      <c r="X235" s="4">
        <v>684378.77547905187</v>
      </c>
      <c r="Y235" s="4">
        <v>126067.75452094816</v>
      </c>
      <c r="AH235" s="4">
        <v>209</v>
      </c>
      <c r="AI235" s="4">
        <v>677765.63545366609</v>
      </c>
      <c r="AJ235" s="4">
        <v>132680.89454633393</v>
      </c>
      <c r="AS235" s="9"/>
      <c r="AT235" s="9"/>
      <c r="AU235" s="9"/>
    </row>
    <row r="236" spans="1:47">
      <c r="A236" s="4">
        <v>210</v>
      </c>
      <c r="B236" s="4">
        <v>694833.47344861843</v>
      </c>
      <c r="C236" s="4">
        <v>-3545.2834486184875</v>
      </c>
      <c r="L236" s="4">
        <v>210</v>
      </c>
      <c r="M236" s="4">
        <v>783853.40081898682</v>
      </c>
      <c r="N236" s="4">
        <v>-92565.210818986874</v>
      </c>
      <c r="W236" s="4">
        <v>210</v>
      </c>
      <c r="X236" s="4">
        <v>674112.72183003963</v>
      </c>
      <c r="Y236" s="4">
        <v>17175.46816996031</v>
      </c>
      <c r="AH236" s="4">
        <v>210</v>
      </c>
      <c r="AI236" s="4">
        <v>673108.1883775685</v>
      </c>
      <c r="AJ236" s="4">
        <v>18180.001622431446</v>
      </c>
      <c r="AS236" s="9"/>
      <c r="AT236" s="9"/>
      <c r="AU236" s="9"/>
    </row>
    <row r="237" spans="1:47">
      <c r="A237" s="4">
        <v>211</v>
      </c>
      <c r="B237" s="4">
        <v>790707.99818862299</v>
      </c>
      <c r="C237" s="4">
        <v>156125.54181137704</v>
      </c>
      <c r="L237" s="4">
        <v>211</v>
      </c>
      <c r="M237" s="4">
        <v>905586.84283883614</v>
      </c>
      <c r="N237" s="4">
        <v>41246.697161163902</v>
      </c>
      <c r="W237" s="4">
        <v>211</v>
      </c>
      <c r="X237" s="4">
        <v>693812.44639976567</v>
      </c>
      <c r="Y237" s="4">
        <v>253021.09360023437</v>
      </c>
      <c r="AH237" s="4">
        <v>211</v>
      </c>
      <c r="AI237" s="4">
        <v>688189.44557636115</v>
      </c>
      <c r="AJ237" s="4">
        <v>258644.09442363889</v>
      </c>
      <c r="AS237" s="9"/>
      <c r="AT237" s="9"/>
      <c r="AU237" s="9"/>
    </row>
    <row r="238" spans="1:47">
      <c r="A238" s="4">
        <v>212</v>
      </c>
      <c r="B238" s="4">
        <v>665990.6116905082</v>
      </c>
      <c r="C238" s="4">
        <v>95972.61830949178</v>
      </c>
      <c r="L238" s="4">
        <v>212</v>
      </c>
      <c r="M238" s="4">
        <v>794342.74195434316</v>
      </c>
      <c r="N238" s="4">
        <v>-32379.511954343179</v>
      </c>
      <c r="W238" s="4">
        <v>212</v>
      </c>
      <c r="X238" s="4">
        <v>684933.69729791733</v>
      </c>
      <c r="Y238" s="4">
        <v>77029.532702082652</v>
      </c>
      <c r="AH238" s="4">
        <v>212</v>
      </c>
      <c r="AI238" s="4">
        <v>677765.63545366609</v>
      </c>
      <c r="AJ238" s="4">
        <v>84197.594546333887</v>
      </c>
      <c r="AS238" s="9"/>
      <c r="AT238" s="9"/>
      <c r="AU238" s="9"/>
    </row>
    <row r="239" spans="1:47">
      <c r="A239" s="4">
        <v>213</v>
      </c>
      <c r="B239" s="4">
        <v>669146.02474915131</v>
      </c>
      <c r="C239" s="4">
        <v>143006.57525084866</v>
      </c>
      <c r="L239" s="4">
        <v>213</v>
      </c>
      <c r="M239" s="4">
        <v>785530.268279401</v>
      </c>
      <c r="N239" s="4">
        <v>26622.331720598973</v>
      </c>
      <c r="W239" s="4">
        <v>213</v>
      </c>
      <c r="X239" s="4">
        <v>685211.15820735006</v>
      </c>
      <c r="Y239" s="4">
        <v>126941.44179264992</v>
      </c>
      <c r="AH239" s="4">
        <v>213</v>
      </c>
      <c r="AI239" s="4">
        <v>683753.78169436322</v>
      </c>
      <c r="AJ239" s="4">
        <v>128398.81830563676</v>
      </c>
      <c r="AS239" s="9"/>
      <c r="AT239" s="9"/>
      <c r="AU239" s="9"/>
    </row>
    <row r="240" spans="1:47">
      <c r="A240" s="4">
        <v>214</v>
      </c>
      <c r="B240" s="4">
        <v>649835.01438281348</v>
      </c>
      <c r="C240" s="4">
        <v>155140.48561718652</v>
      </c>
      <c r="L240" s="4">
        <v>214</v>
      </c>
      <c r="M240" s="4">
        <v>782212.21138964547</v>
      </c>
      <c r="N240" s="4">
        <v>22763.288610354532</v>
      </c>
      <c r="W240" s="4">
        <v>214</v>
      </c>
      <c r="X240" s="4">
        <v>677026.06137908367</v>
      </c>
      <c r="Y240" s="4">
        <v>127949.43862091633</v>
      </c>
      <c r="AH240" s="4">
        <v>214</v>
      </c>
      <c r="AI240" s="4">
        <v>686636.96321766183</v>
      </c>
      <c r="AJ240" s="4">
        <v>118338.53678233817</v>
      </c>
      <c r="AS240" s="9"/>
      <c r="AT240" s="9"/>
      <c r="AU240" s="9"/>
    </row>
    <row r="241" spans="1:47">
      <c r="A241" s="4">
        <v>215</v>
      </c>
      <c r="B241" s="4">
        <v>635943.98618272447</v>
      </c>
      <c r="C241" s="4">
        <v>116377.7338172755</v>
      </c>
      <c r="L241" s="4">
        <v>215</v>
      </c>
      <c r="M241" s="4">
        <v>790489.514598498</v>
      </c>
      <c r="N241" s="4">
        <v>-38167.794598498032</v>
      </c>
      <c r="W241" s="4">
        <v>215</v>
      </c>
      <c r="X241" s="4">
        <v>697835.62958654074</v>
      </c>
      <c r="Y241" s="4">
        <v>54486.090413459227</v>
      </c>
      <c r="AH241" s="4">
        <v>215</v>
      </c>
      <c r="AI241" s="4">
        <v>679983.46739466512</v>
      </c>
      <c r="AJ241" s="4">
        <v>72338.252605334856</v>
      </c>
      <c r="AS241" s="9"/>
      <c r="AT241" s="9"/>
      <c r="AU241" s="9"/>
    </row>
    <row r="242" spans="1:47">
      <c r="A242" s="4">
        <v>216</v>
      </c>
      <c r="B242" s="4">
        <v>661700.24146102602</v>
      </c>
      <c r="C242" s="4">
        <v>175207.99853897397</v>
      </c>
      <c r="L242" s="4">
        <v>216</v>
      </c>
      <c r="M242" s="4">
        <v>846860.80369326996</v>
      </c>
      <c r="N242" s="4">
        <v>-9952.5636932699708</v>
      </c>
      <c r="W242" s="4">
        <v>216</v>
      </c>
      <c r="X242" s="4">
        <v>677442.25274323276</v>
      </c>
      <c r="Y242" s="4">
        <v>159465.98725676723</v>
      </c>
      <c r="AH242" s="4">
        <v>216</v>
      </c>
      <c r="AI242" s="4">
        <v>680870.60017106473</v>
      </c>
      <c r="AJ242" s="4">
        <v>156037.63982893527</v>
      </c>
      <c r="AS242" s="9"/>
      <c r="AT242" s="9"/>
      <c r="AU242" s="9"/>
    </row>
    <row r="243" spans="1:47">
      <c r="A243" s="4">
        <v>217</v>
      </c>
      <c r="B243" s="4">
        <v>708102.51658277819</v>
      </c>
      <c r="C243" s="4">
        <v>-33813.416582778213</v>
      </c>
      <c r="L243" s="4">
        <v>217</v>
      </c>
      <c r="M243" s="4">
        <v>638857.88253977604</v>
      </c>
      <c r="N243" s="4">
        <v>35431.217460223939</v>
      </c>
      <c r="W243" s="4">
        <v>217</v>
      </c>
      <c r="X243" s="4">
        <v>680355.59229227679</v>
      </c>
      <c r="Y243" s="4">
        <v>-6066.4922922768164</v>
      </c>
      <c r="AH243" s="4">
        <v>217</v>
      </c>
      <c r="AI243" s="4">
        <v>668672.52449557057</v>
      </c>
      <c r="AJ243" s="4">
        <v>5616.5755044294056</v>
      </c>
      <c r="AS243" s="9"/>
      <c r="AT243" s="9"/>
      <c r="AU243" s="9"/>
    </row>
    <row r="244" spans="1:47">
      <c r="A244" s="4">
        <v>218</v>
      </c>
      <c r="B244" s="4">
        <v>633155.92486809066</v>
      </c>
      <c r="C244" s="4">
        <v>-10263.504868090618</v>
      </c>
      <c r="L244" s="4">
        <v>218</v>
      </c>
      <c r="M244" s="4">
        <v>625300.23073217273</v>
      </c>
      <c r="N244" s="4">
        <v>-2407.8107321726857</v>
      </c>
      <c r="W244" s="4">
        <v>218</v>
      </c>
      <c r="X244" s="4">
        <v>663707.93772631104</v>
      </c>
      <c r="Y244" s="4">
        <v>-40815.517726310994</v>
      </c>
      <c r="AH244" s="4">
        <v>218</v>
      </c>
      <c r="AI244" s="4">
        <v>693955.80862295826</v>
      </c>
      <c r="AJ244" s="4">
        <v>-71063.388622958213</v>
      </c>
      <c r="AS244" s="9"/>
      <c r="AT244" s="9"/>
      <c r="AU244" s="9"/>
    </row>
    <row r="245" spans="1:47">
      <c r="A245" s="4">
        <v>219</v>
      </c>
      <c r="B245" s="4">
        <v>685965.13384166313</v>
      </c>
      <c r="C245" s="4">
        <v>-12616.573841663077</v>
      </c>
      <c r="L245" s="4">
        <v>219</v>
      </c>
      <c r="M245" s="4">
        <v>605784.34773543838</v>
      </c>
      <c r="N245" s="4">
        <v>67564.212264561676</v>
      </c>
      <c r="W245" s="4">
        <v>219</v>
      </c>
      <c r="X245" s="4">
        <v>666066.3554564896</v>
      </c>
      <c r="Y245" s="4">
        <v>7282.2045435104519</v>
      </c>
      <c r="AH245" s="4">
        <v>219</v>
      </c>
      <c r="AI245" s="4">
        <v>685971.61363536213</v>
      </c>
      <c r="AJ245" s="4">
        <v>-12623.05363536207</v>
      </c>
      <c r="AS245" s="9"/>
      <c r="AT245" s="9"/>
      <c r="AU245" s="9"/>
    </row>
    <row r="246" spans="1:47">
      <c r="A246" s="4">
        <v>220</v>
      </c>
      <c r="B246" s="4">
        <v>595812.79930264573</v>
      </c>
      <c r="C246" s="4">
        <v>10465.50069735432</v>
      </c>
      <c r="L246" s="4">
        <v>220</v>
      </c>
      <c r="M246" s="4">
        <v>613312.41229176545</v>
      </c>
      <c r="N246" s="4">
        <v>-7034.1122917653993</v>
      </c>
      <c r="W246" s="4">
        <v>220</v>
      </c>
      <c r="X246" s="4">
        <v>679384.47910926212</v>
      </c>
      <c r="Y246" s="4">
        <v>-73106.17910926207</v>
      </c>
      <c r="AH246" s="4">
        <v>220</v>
      </c>
      <c r="AI246" s="4">
        <v>697504.33972855657</v>
      </c>
      <c r="AJ246" s="4">
        <v>-91226.039728556527</v>
      </c>
      <c r="AS246" s="9"/>
      <c r="AT246" s="9"/>
      <c r="AU246" s="9"/>
    </row>
    <row r="247" spans="1:47">
      <c r="A247" s="4">
        <v>221</v>
      </c>
      <c r="B247" s="4">
        <v>674427.94654691254</v>
      </c>
      <c r="C247" s="4">
        <v>37791.863453087513</v>
      </c>
      <c r="L247" s="4">
        <v>221</v>
      </c>
      <c r="M247" s="4">
        <v>706539.10748457501</v>
      </c>
      <c r="N247" s="4">
        <v>5680.7025154250441</v>
      </c>
      <c r="W247" s="4">
        <v>221</v>
      </c>
      <c r="X247" s="4">
        <v>677580.98319794913</v>
      </c>
      <c r="Y247" s="4">
        <v>34638.826802050928</v>
      </c>
      <c r="AH247" s="4">
        <v>221</v>
      </c>
      <c r="AI247" s="4">
        <v>685749.83044126222</v>
      </c>
      <c r="AJ247" s="4">
        <v>26469.979558737832</v>
      </c>
      <c r="AS247" s="9"/>
      <c r="AT247" s="9"/>
      <c r="AU247" s="9"/>
    </row>
    <row r="248" spans="1:47">
      <c r="A248" s="4">
        <v>222</v>
      </c>
      <c r="B248" s="4">
        <v>618690.37983612448</v>
      </c>
      <c r="C248" s="4">
        <v>53980.160163875553</v>
      </c>
      <c r="L248" s="4">
        <v>222</v>
      </c>
      <c r="M248" s="4">
        <v>710570.72499578341</v>
      </c>
      <c r="N248" s="4">
        <v>-37900.184995783377</v>
      </c>
      <c r="W248" s="4">
        <v>222</v>
      </c>
      <c r="X248" s="4">
        <v>685627.34957149928</v>
      </c>
      <c r="Y248" s="4">
        <v>-12956.809571499238</v>
      </c>
      <c r="AH248" s="4">
        <v>222</v>
      </c>
      <c r="AI248" s="4">
        <v>684862.69766486273</v>
      </c>
      <c r="AJ248" s="4">
        <v>-12192.157664862694</v>
      </c>
      <c r="AS248" s="9"/>
      <c r="AT248" s="9"/>
      <c r="AU248" s="9"/>
    </row>
    <row r="249" spans="1:47">
      <c r="A249" s="4">
        <v>223</v>
      </c>
      <c r="B249" s="4">
        <v>703379.54442124953</v>
      </c>
      <c r="C249" s="4">
        <v>29288.375578750507</v>
      </c>
      <c r="L249" s="4">
        <v>223</v>
      </c>
      <c r="M249" s="4">
        <v>727553.4677863603</v>
      </c>
      <c r="N249" s="4">
        <v>5114.4522136397427</v>
      </c>
      <c r="W249" s="4">
        <v>223</v>
      </c>
      <c r="X249" s="4">
        <v>681742.89683944057</v>
      </c>
      <c r="Y249" s="4">
        <v>50925.023160559474</v>
      </c>
      <c r="AH249" s="4">
        <v>223</v>
      </c>
      <c r="AI249" s="4">
        <v>685306.26405306254</v>
      </c>
      <c r="AJ249" s="4">
        <v>47361.655946937506</v>
      </c>
      <c r="AS249" s="9"/>
      <c r="AT249" s="9"/>
      <c r="AU249" s="9"/>
    </row>
    <row r="250" spans="1:47">
      <c r="A250" s="4">
        <v>224</v>
      </c>
      <c r="B250" s="4">
        <v>717388.42331996735</v>
      </c>
      <c r="C250" s="4">
        <v>6142.9766800326761</v>
      </c>
      <c r="L250" s="4">
        <v>224</v>
      </c>
      <c r="M250" s="4">
        <v>759413.94953422819</v>
      </c>
      <c r="N250" s="4">
        <v>-35882.549534228165</v>
      </c>
      <c r="W250" s="4">
        <v>224</v>
      </c>
      <c r="X250" s="4">
        <v>692980.06367146748</v>
      </c>
      <c r="Y250" s="4">
        <v>30551.336328532547</v>
      </c>
      <c r="AH250" s="4">
        <v>224</v>
      </c>
      <c r="AI250" s="4">
        <v>671999.27240706899</v>
      </c>
      <c r="AJ250" s="4">
        <v>51532.127592931036</v>
      </c>
      <c r="AS250" s="9"/>
      <c r="AT250" s="9"/>
      <c r="AU250" s="9"/>
    </row>
    <row r="251" spans="1:47">
      <c r="A251" s="4">
        <v>225</v>
      </c>
      <c r="B251" s="4">
        <v>706040.55527183937</v>
      </c>
      <c r="C251" s="4">
        <v>-64475.955271839397</v>
      </c>
      <c r="L251" s="4">
        <v>225</v>
      </c>
      <c r="M251" s="4">
        <v>614561.14337930793</v>
      </c>
      <c r="N251" s="4">
        <v>27003.456620692043</v>
      </c>
      <c r="W251" s="4">
        <v>225</v>
      </c>
      <c r="X251" s="4">
        <v>670366.99955269741</v>
      </c>
      <c r="Y251" s="4">
        <v>-28802.399552697432</v>
      </c>
      <c r="AH251" s="4">
        <v>225</v>
      </c>
      <c r="AI251" s="4">
        <v>668007.17491327086</v>
      </c>
      <c r="AJ251" s="4">
        <v>-26442.574913270888</v>
      </c>
      <c r="AS251" s="9"/>
      <c r="AT251" s="9"/>
      <c r="AU251" s="9"/>
    </row>
    <row r="252" spans="1:47">
      <c r="A252" s="4">
        <v>226</v>
      </c>
      <c r="B252" s="4">
        <v>682644.38055458595</v>
      </c>
      <c r="C252" s="4">
        <v>-146098.89055458596</v>
      </c>
      <c r="L252" s="4">
        <v>226</v>
      </c>
      <c r="M252" s="4">
        <v>547807.54724239768</v>
      </c>
      <c r="N252" s="4">
        <v>-11262.057242397685</v>
      </c>
      <c r="W252" s="4">
        <v>226</v>
      </c>
      <c r="X252" s="4">
        <v>682297.81865830615</v>
      </c>
      <c r="Y252" s="4">
        <v>-145752.32865830616</v>
      </c>
      <c r="AH252" s="4">
        <v>226</v>
      </c>
      <c r="AI252" s="4">
        <v>661131.89589617425</v>
      </c>
      <c r="AJ252" s="4">
        <v>-124586.40589617426</v>
      </c>
      <c r="AS252" s="9"/>
      <c r="AT252" s="9"/>
      <c r="AU252" s="9"/>
    </row>
    <row r="253" spans="1:47">
      <c r="A253" s="4">
        <v>227</v>
      </c>
      <c r="B253" s="4">
        <v>652204.31600503006</v>
      </c>
      <c r="C253" s="4">
        <v>-124522.75600503001</v>
      </c>
      <c r="L253" s="4">
        <v>227</v>
      </c>
      <c r="M253" s="4">
        <v>584555.91924721724</v>
      </c>
      <c r="N253" s="4">
        <v>-56874.359247217188</v>
      </c>
      <c r="W253" s="4">
        <v>227</v>
      </c>
      <c r="X253" s="4">
        <v>674112.72183003963</v>
      </c>
      <c r="Y253" s="4">
        <v>-146431.16183003958</v>
      </c>
      <c r="AH253" s="4">
        <v>227</v>
      </c>
      <c r="AI253" s="4">
        <v>669337.87407787028</v>
      </c>
      <c r="AJ253" s="4">
        <v>-141656.31407787022</v>
      </c>
      <c r="AS253" s="9"/>
      <c r="AT253" s="9"/>
      <c r="AU253" s="9"/>
    </row>
    <row r="254" spans="1:47">
      <c r="A254" s="4">
        <v>228</v>
      </c>
      <c r="B254" s="4">
        <v>644557.92672104586</v>
      </c>
      <c r="C254" s="4">
        <v>-114958.98672104592</v>
      </c>
      <c r="L254" s="4">
        <v>228</v>
      </c>
      <c r="M254" s="4">
        <v>495467.87565883406</v>
      </c>
      <c r="N254" s="4">
        <v>34131.064341165882</v>
      </c>
      <c r="W254" s="4">
        <v>228</v>
      </c>
      <c r="X254" s="4">
        <v>684933.69729791733</v>
      </c>
      <c r="Y254" s="4">
        <v>-155334.75729791739</v>
      </c>
      <c r="AH254" s="4">
        <v>228</v>
      </c>
      <c r="AI254" s="4">
        <v>695508.29098165757</v>
      </c>
      <c r="AJ254" s="4">
        <v>-165909.35098165763</v>
      </c>
      <c r="AS254" s="9"/>
      <c r="AT254" s="9"/>
      <c r="AU254" s="9"/>
    </row>
    <row r="255" spans="1:47">
      <c r="A255" s="4">
        <v>229</v>
      </c>
      <c r="B255" s="4">
        <v>640262.10477872519</v>
      </c>
      <c r="C255" s="4">
        <v>-69298.794778725132</v>
      </c>
      <c r="L255" s="4">
        <v>229</v>
      </c>
      <c r="M255" s="4">
        <v>658944.61403367261</v>
      </c>
      <c r="N255" s="4">
        <v>-87981.304033672553</v>
      </c>
      <c r="W255" s="4">
        <v>229</v>
      </c>
      <c r="X255" s="4">
        <v>687985.76730167773</v>
      </c>
      <c r="Y255" s="4">
        <v>-117022.45730167767</v>
      </c>
      <c r="AH255" s="4">
        <v>229</v>
      </c>
      <c r="AI255" s="4">
        <v>675326.02031856729</v>
      </c>
      <c r="AJ255" s="4">
        <v>-104362.71031856723</v>
      </c>
      <c r="AS255" s="9"/>
      <c r="AT255" s="9"/>
      <c r="AU255" s="9"/>
    </row>
    <row r="256" spans="1:47">
      <c r="A256" s="4">
        <v>230</v>
      </c>
      <c r="B256" s="4">
        <v>802986.72490819369</v>
      </c>
      <c r="C256" s="4">
        <v>67950.675091806334</v>
      </c>
      <c r="L256" s="4">
        <v>230</v>
      </c>
      <c r="M256" s="4">
        <v>766121.41937588458</v>
      </c>
      <c r="N256" s="4">
        <v>104815.98062411544</v>
      </c>
      <c r="W256" s="4">
        <v>230</v>
      </c>
      <c r="X256" s="4">
        <v>669812.07773383183</v>
      </c>
      <c r="Y256" s="4">
        <v>201125.32226616819</v>
      </c>
      <c r="AH256" s="4">
        <v>230</v>
      </c>
      <c r="AI256" s="4">
        <v>675991.36990086699</v>
      </c>
      <c r="AJ256" s="4">
        <v>194946.03009913303</v>
      </c>
      <c r="AS256" s="9"/>
      <c r="AT256" s="9"/>
      <c r="AU256" s="9"/>
    </row>
    <row r="257" spans="1:47">
      <c r="A257" s="4">
        <v>231</v>
      </c>
      <c r="B257" s="4">
        <v>631423.77088813565</v>
      </c>
      <c r="C257" s="4">
        <v>-34454.500888135633</v>
      </c>
      <c r="L257" s="4">
        <v>231</v>
      </c>
      <c r="M257" s="4">
        <v>679923.29630438518</v>
      </c>
      <c r="N257" s="4">
        <v>-82954.026304385159</v>
      </c>
      <c r="W257" s="4">
        <v>231</v>
      </c>
      <c r="X257" s="4">
        <v>674390.18273947237</v>
      </c>
      <c r="Y257" s="4">
        <v>-77420.912739472347</v>
      </c>
      <c r="AH257" s="4">
        <v>231</v>
      </c>
      <c r="AI257" s="4">
        <v>671999.27240706899</v>
      </c>
      <c r="AJ257" s="4">
        <v>-75030.002407068969</v>
      </c>
      <c r="AS257" s="9"/>
      <c r="AT257" s="9"/>
      <c r="AU257" s="9"/>
    </row>
    <row r="258" spans="1:47">
      <c r="A258" s="4">
        <v>232</v>
      </c>
      <c r="B258" s="4">
        <v>615758.89162317745</v>
      </c>
      <c r="C258" s="4">
        <v>31753.958376822527</v>
      </c>
      <c r="L258" s="4">
        <v>232</v>
      </c>
      <c r="M258" s="4">
        <v>641105.59849735245</v>
      </c>
      <c r="N258" s="4">
        <v>6407.2515026475303</v>
      </c>
      <c r="W258" s="4">
        <v>232</v>
      </c>
      <c r="X258" s="4">
        <v>697835.62958654074</v>
      </c>
      <c r="Y258" s="4">
        <v>-50322.779586540768</v>
      </c>
      <c r="AH258" s="4">
        <v>232</v>
      </c>
      <c r="AI258" s="4">
        <v>696395.42375805706</v>
      </c>
      <c r="AJ258" s="4">
        <v>-48882.573758057086</v>
      </c>
      <c r="AS258" s="9"/>
      <c r="AT258" s="9"/>
      <c r="AU258" s="9"/>
    </row>
    <row r="259" spans="1:47">
      <c r="A259" s="4">
        <v>233</v>
      </c>
      <c r="B259" s="4">
        <v>661382.57270940952</v>
      </c>
      <c r="C259" s="4">
        <v>-3310.4327094095061</v>
      </c>
      <c r="L259" s="4">
        <v>233</v>
      </c>
      <c r="M259" s="4">
        <v>598541.70742769237</v>
      </c>
      <c r="N259" s="4">
        <v>59530.432572307647</v>
      </c>
      <c r="W259" s="4">
        <v>233</v>
      </c>
      <c r="X259" s="4">
        <v>688263.22821111046</v>
      </c>
      <c r="Y259" s="4">
        <v>-30191.088211110444</v>
      </c>
      <c r="AH259" s="4">
        <v>233</v>
      </c>
      <c r="AI259" s="4">
        <v>696173.64056395716</v>
      </c>
      <c r="AJ259" s="4">
        <v>-38101.500563957146</v>
      </c>
      <c r="AS259" s="9"/>
      <c r="AT259" s="9"/>
      <c r="AU259" s="9"/>
    </row>
    <row r="260" spans="1:47">
      <c r="A260" s="4">
        <v>234</v>
      </c>
      <c r="B260" s="4">
        <v>692067.34675985877</v>
      </c>
      <c r="C260" s="4">
        <v>31237.763240141212</v>
      </c>
      <c r="L260" s="4">
        <v>234</v>
      </c>
      <c r="M260" s="4">
        <v>636253.38627147325</v>
      </c>
      <c r="N260" s="4">
        <v>87051.723728526733</v>
      </c>
      <c r="W260" s="4">
        <v>234</v>
      </c>
      <c r="X260" s="4">
        <v>680355.59229227679</v>
      </c>
      <c r="Y260" s="4">
        <v>42949.517707723193</v>
      </c>
      <c r="AH260" s="4">
        <v>234</v>
      </c>
      <c r="AI260" s="4">
        <v>682644.86572386383</v>
      </c>
      <c r="AJ260" s="4">
        <v>40660.24427613616</v>
      </c>
      <c r="AS260" s="9"/>
      <c r="AT260" s="9"/>
      <c r="AU260" s="9"/>
    </row>
    <row r="261" spans="1:47">
      <c r="A261" s="4">
        <v>235</v>
      </c>
      <c r="B261" s="4">
        <v>694051.9405991463</v>
      </c>
      <c r="C261" s="4">
        <v>-53385.410599146271</v>
      </c>
      <c r="L261" s="4">
        <v>235</v>
      </c>
      <c r="M261" s="4">
        <v>641890.51518095052</v>
      </c>
      <c r="N261" s="4">
        <v>-1223.9851809504908</v>
      </c>
      <c r="W261" s="4">
        <v>235</v>
      </c>
      <c r="X261" s="4">
        <v>691176.56776015449</v>
      </c>
      <c r="Y261" s="4">
        <v>-50510.037760154461</v>
      </c>
      <c r="AH261" s="4">
        <v>235</v>
      </c>
      <c r="AI261" s="4">
        <v>664902.21019587247</v>
      </c>
      <c r="AJ261" s="4">
        <v>-24235.680195872439</v>
      </c>
      <c r="AS261" s="9"/>
      <c r="AT261" s="9"/>
      <c r="AU261" s="9"/>
    </row>
    <row r="262" spans="1:47">
      <c r="A262" s="4">
        <v>236</v>
      </c>
      <c r="B262" s="4">
        <v>662878.00309594965</v>
      </c>
      <c r="C262" s="4">
        <v>7751.4769040503306</v>
      </c>
      <c r="L262" s="4">
        <v>236</v>
      </c>
      <c r="M262" s="4">
        <v>666508.35662107239</v>
      </c>
      <c r="N262" s="4">
        <v>4121.1233789275866</v>
      </c>
      <c r="W262" s="4">
        <v>236</v>
      </c>
      <c r="X262" s="4">
        <v>681326.70547529147</v>
      </c>
      <c r="Y262" s="4">
        <v>-10697.225475291489</v>
      </c>
      <c r="AH262" s="4">
        <v>236</v>
      </c>
      <c r="AI262" s="4">
        <v>689298.36154686054</v>
      </c>
      <c r="AJ262" s="4">
        <v>-18668.881546860561</v>
      </c>
      <c r="AS262" s="9"/>
      <c r="AT262" s="9"/>
      <c r="AU262" s="9"/>
    </row>
    <row r="263" spans="1:47">
      <c r="A263" s="4">
        <v>237</v>
      </c>
      <c r="B263" s="4">
        <v>659792.80213585717</v>
      </c>
      <c r="C263" s="4">
        <v>61286.547864142805</v>
      </c>
      <c r="L263" s="4">
        <v>237</v>
      </c>
      <c r="M263" s="4">
        <v>799908.5148016751</v>
      </c>
      <c r="N263" s="4">
        <v>-78829.164801675128</v>
      </c>
      <c r="W263" s="4">
        <v>237</v>
      </c>
      <c r="X263" s="4">
        <v>681049.24456585874</v>
      </c>
      <c r="Y263" s="4">
        <v>40030.105434141238</v>
      </c>
      <c r="AH263" s="4">
        <v>237</v>
      </c>
      <c r="AI263" s="4">
        <v>683088.43211206351</v>
      </c>
      <c r="AJ263" s="4">
        <v>37990.917887936463</v>
      </c>
      <c r="AS263" s="9"/>
      <c r="AT263" s="9"/>
      <c r="AU263" s="9"/>
    </row>
    <row r="264" spans="1:47">
      <c r="A264" s="4">
        <v>238</v>
      </c>
      <c r="B264" s="4">
        <v>716155.31402227969</v>
      </c>
      <c r="C264" s="4">
        <v>94199.705977720325</v>
      </c>
      <c r="L264" s="4">
        <v>238</v>
      </c>
      <c r="M264" s="4">
        <v>803048.18153606751</v>
      </c>
      <c r="N264" s="4">
        <v>7306.8384639325086</v>
      </c>
      <c r="W264" s="4">
        <v>238</v>
      </c>
      <c r="X264" s="4">
        <v>683130.20138660434</v>
      </c>
      <c r="Y264" s="4">
        <v>127224.81861339568</v>
      </c>
      <c r="AH264" s="4">
        <v>238</v>
      </c>
      <c r="AI264" s="4">
        <v>682423.08252976392</v>
      </c>
      <c r="AJ264" s="4">
        <v>127931.93747023609</v>
      </c>
      <c r="AS264" s="9"/>
      <c r="AT264" s="9"/>
      <c r="AU264" s="9"/>
    </row>
    <row r="265" spans="1:47">
      <c r="A265" s="4">
        <v>239</v>
      </c>
      <c r="B265" s="4">
        <v>686550.17077565868</v>
      </c>
      <c r="C265" s="4">
        <v>75369.079224341316</v>
      </c>
      <c r="L265" s="4">
        <v>239</v>
      </c>
      <c r="M265" s="4">
        <v>792558.84040071117</v>
      </c>
      <c r="N265" s="4">
        <v>-30639.590400711168</v>
      </c>
      <c r="W265" s="4">
        <v>239</v>
      </c>
      <c r="X265" s="4">
        <v>669950.8081885482</v>
      </c>
      <c r="Y265" s="4">
        <v>91968.441811451805</v>
      </c>
      <c r="AH265" s="4">
        <v>239</v>
      </c>
      <c r="AI265" s="4">
        <v>664236.86061357276</v>
      </c>
      <c r="AJ265" s="4">
        <v>97682.38938642724</v>
      </c>
      <c r="AS265" s="9"/>
      <c r="AT265" s="9"/>
      <c r="AU265" s="9"/>
    </row>
    <row r="266" spans="1:47">
      <c r="A266" s="4">
        <v>240</v>
      </c>
      <c r="B266" s="4">
        <v>616674.65160554764</v>
      </c>
      <c r="C266" s="4">
        <v>120395.52839445241</v>
      </c>
      <c r="L266" s="4">
        <v>240</v>
      </c>
      <c r="M266" s="4">
        <v>778715.76434452669</v>
      </c>
      <c r="N266" s="4">
        <v>-41645.584344526636</v>
      </c>
      <c r="W266" s="4">
        <v>240</v>
      </c>
      <c r="X266" s="4">
        <v>672031.76500929391</v>
      </c>
      <c r="Y266" s="4">
        <v>65038.414990706136</v>
      </c>
      <c r="AH266" s="4">
        <v>240</v>
      </c>
      <c r="AI266" s="4">
        <v>670446.79004836967</v>
      </c>
      <c r="AJ266" s="4">
        <v>66623.389951630379</v>
      </c>
      <c r="AS266" s="9"/>
      <c r="AT266" s="9"/>
      <c r="AU266" s="9"/>
    </row>
    <row r="267" spans="1:47">
      <c r="A267" s="4">
        <v>241</v>
      </c>
      <c r="B267" s="4">
        <v>709634.91639700532</v>
      </c>
      <c r="C267" s="4">
        <v>67358.013602994732</v>
      </c>
      <c r="L267" s="4">
        <v>241</v>
      </c>
      <c r="M267" s="4">
        <v>733797.12322407239</v>
      </c>
      <c r="N267" s="4">
        <v>43195.80677592766</v>
      </c>
      <c r="W267" s="4">
        <v>241</v>
      </c>
      <c r="X267" s="4">
        <v>658852.37181123777</v>
      </c>
      <c r="Y267" s="4">
        <v>118140.55818876228</v>
      </c>
      <c r="AH267" s="4">
        <v>241</v>
      </c>
      <c r="AI267" s="4">
        <v>674660.6707362677</v>
      </c>
      <c r="AJ267" s="4">
        <v>102332.25926373235</v>
      </c>
      <c r="AS267" s="9"/>
      <c r="AT267" s="9"/>
      <c r="AU267" s="9"/>
    </row>
    <row r="268" spans="1:47">
      <c r="A268" s="4">
        <v>242</v>
      </c>
      <c r="B268" s="4">
        <v>671050.16323256248</v>
      </c>
      <c r="C268" s="4">
        <v>5287.2467674375512</v>
      </c>
      <c r="L268" s="4">
        <v>242</v>
      </c>
      <c r="M268" s="4">
        <v>647920.10243222676</v>
      </c>
      <c r="N268" s="4">
        <v>28417.30756777327</v>
      </c>
      <c r="W268" s="4">
        <v>242</v>
      </c>
      <c r="X268" s="4">
        <v>689650.53275827423</v>
      </c>
      <c r="Y268" s="4">
        <v>-13313.122758274199</v>
      </c>
      <c r="AH268" s="4">
        <v>242</v>
      </c>
      <c r="AI268" s="4">
        <v>674438.88754216779</v>
      </c>
      <c r="AJ268" s="4">
        <v>1898.5224578322377</v>
      </c>
      <c r="AS268" s="9"/>
      <c r="AT268" s="9"/>
      <c r="AU268" s="9"/>
    </row>
    <row r="269" spans="1:47">
      <c r="A269" s="4">
        <v>243</v>
      </c>
      <c r="B269" s="4">
        <v>711550.511995679</v>
      </c>
      <c r="C269" s="4">
        <v>116669.15800432104</v>
      </c>
      <c r="L269" s="4">
        <v>243</v>
      </c>
      <c r="M269" s="4">
        <v>805902.42402187875</v>
      </c>
      <c r="N269" s="4">
        <v>22317.245978121297</v>
      </c>
      <c r="W269" s="4">
        <v>243</v>
      </c>
      <c r="X269" s="4">
        <v>676748.60046965093</v>
      </c>
      <c r="Y269" s="4">
        <v>151471.06953034911</v>
      </c>
      <c r="AH269" s="4">
        <v>243</v>
      </c>
      <c r="AI269" s="4">
        <v>672886.40518346848</v>
      </c>
      <c r="AJ269" s="4">
        <v>155333.26481653156</v>
      </c>
      <c r="AS269" s="9"/>
      <c r="AT269" s="9"/>
      <c r="AU269" s="9"/>
    </row>
    <row r="270" spans="1:47">
      <c r="A270" s="4">
        <v>244</v>
      </c>
      <c r="B270" s="4">
        <v>674808.30999617337</v>
      </c>
      <c r="C270" s="4">
        <v>88351.610003826674</v>
      </c>
      <c r="L270" s="4">
        <v>244</v>
      </c>
      <c r="M270" s="4">
        <v>731977.54363936768</v>
      </c>
      <c r="N270" s="4">
        <v>31182.376360632363</v>
      </c>
      <c r="W270" s="4">
        <v>244</v>
      </c>
      <c r="X270" s="4">
        <v>697835.62958654074</v>
      </c>
      <c r="Y270" s="4">
        <v>65324.290413459297</v>
      </c>
      <c r="AH270" s="4">
        <v>244</v>
      </c>
      <c r="AI270" s="4">
        <v>695951.85736985737</v>
      </c>
      <c r="AJ270" s="4">
        <v>67208.062630142667</v>
      </c>
      <c r="AS270" s="9"/>
      <c r="AT270" s="9"/>
      <c r="AU270" s="9"/>
    </row>
    <row r="271" spans="1:47">
      <c r="A271" s="4">
        <v>245</v>
      </c>
      <c r="B271" s="4">
        <v>724631.55621991912</v>
      </c>
      <c r="C271" s="4">
        <v>77370.123780080932</v>
      </c>
      <c r="L271" s="4">
        <v>245</v>
      </c>
      <c r="M271" s="4">
        <v>765158.11253692326</v>
      </c>
      <c r="N271" s="4">
        <v>36843.56746307679</v>
      </c>
      <c r="W271" s="4">
        <v>245</v>
      </c>
      <c r="X271" s="4">
        <v>686182.27139036474</v>
      </c>
      <c r="Y271" s="4">
        <v>115819.40860963531</v>
      </c>
      <c r="AH271" s="4">
        <v>245</v>
      </c>
      <c r="AI271" s="4">
        <v>686636.96321766183</v>
      </c>
      <c r="AJ271" s="4">
        <v>115364.71678233822</v>
      </c>
      <c r="AS271" s="9"/>
      <c r="AT271" s="9"/>
      <c r="AU271" s="9"/>
    </row>
    <row r="272" spans="1:47">
      <c r="A272" s="4">
        <v>246</v>
      </c>
      <c r="B272" s="4">
        <v>663126.39676215965</v>
      </c>
      <c r="C272" s="4">
        <v>87344.943237840314</v>
      </c>
      <c r="L272" s="4">
        <v>246</v>
      </c>
      <c r="M272" s="4">
        <v>757986.82829132257</v>
      </c>
      <c r="N272" s="4">
        <v>-7515.4882913226029</v>
      </c>
      <c r="W272" s="4">
        <v>246</v>
      </c>
      <c r="X272" s="4">
        <v>697835.62958654074</v>
      </c>
      <c r="Y272" s="4">
        <v>52635.710413459223</v>
      </c>
      <c r="AH272" s="4">
        <v>246</v>
      </c>
      <c r="AI272" s="4">
        <v>684197.34808256302</v>
      </c>
      <c r="AJ272" s="4">
        <v>66273.991917436942</v>
      </c>
      <c r="AS272" s="9"/>
      <c r="AT272" s="9"/>
      <c r="AU272" s="9"/>
    </row>
    <row r="273" spans="1:47">
      <c r="A273" s="4">
        <v>247</v>
      </c>
      <c r="B273" s="4">
        <v>682993.75868283038</v>
      </c>
      <c r="C273" s="4">
        <v>-3762.8986828303896</v>
      </c>
      <c r="L273" s="4">
        <v>247</v>
      </c>
      <c r="M273" s="4">
        <v>709500.38406360417</v>
      </c>
      <c r="N273" s="4">
        <v>-30269.524063604185</v>
      </c>
      <c r="W273" s="4">
        <v>247</v>
      </c>
      <c r="X273" s="4">
        <v>668702.23409610079</v>
      </c>
      <c r="Y273" s="4">
        <v>10528.625903899199</v>
      </c>
      <c r="AH273" s="4">
        <v>247</v>
      </c>
      <c r="AI273" s="4">
        <v>688411.22877046093</v>
      </c>
      <c r="AJ273" s="4">
        <v>-9180.3687704609474</v>
      </c>
      <c r="AS273" s="9"/>
      <c r="AT273" s="9"/>
      <c r="AU273" s="9"/>
    </row>
    <row r="274" spans="1:47">
      <c r="A274" s="4">
        <v>248</v>
      </c>
      <c r="B274" s="4">
        <v>606640.26302797056</v>
      </c>
      <c r="C274" s="4">
        <v>73248.476972029428</v>
      </c>
      <c r="L274" s="4">
        <v>248</v>
      </c>
      <c r="M274" s="4">
        <v>736080.51721272129</v>
      </c>
      <c r="N274" s="4">
        <v>-56191.777212721296</v>
      </c>
      <c r="W274" s="4">
        <v>248</v>
      </c>
      <c r="X274" s="4">
        <v>666343.81636592234</v>
      </c>
      <c r="Y274" s="4">
        <v>13544.923634077655</v>
      </c>
      <c r="AH274" s="4">
        <v>248</v>
      </c>
      <c r="AI274" s="4">
        <v>685306.26405306254</v>
      </c>
      <c r="AJ274" s="4">
        <v>-5417.5240530625451</v>
      </c>
      <c r="AS274" s="9"/>
      <c r="AT274" s="9"/>
      <c r="AU274" s="9"/>
    </row>
    <row r="275" spans="1:47">
      <c r="A275" s="4">
        <v>249</v>
      </c>
      <c r="B275" s="4">
        <v>647927.38339586509</v>
      </c>
      <c r="C275" s="4">
        <v>-41143.713395865052</v>
      </c>
      <c r="L275" s="4">
        <v>249</v>
      </c>
      <c r="M275" s="4">
        <v>584662.95334043517</v>
      </c>
      <c r="N275" s="4">
        <v>22120.716659564874</v>
      </c>
      <c r="W275" s="4">
        <v>249</v>
      </c>
      <c r="X275" s="4">
        <v>677026.06137908367</v>
      </c>
      <c r="Y275" s="4">
        <v>-70242.391379083623</v>
      </c>
      <c r="AH275" s="4">
        <v>249</v>
      </c>
      <c r="AI275" s="4">
        <v>697947.90611675638</v>
      </c>
      <c r="AJ275" s="4">
        <v>-91164.236116756336</v>
      </c>
      <c r="AS275" s="9"/>
      <c r="AT275" s="9"/>
      <c r="AU275" s="9"/>
    </row>
    <row r="276" spans="1:47">
      <c r="A276" s="4">
        <v>250</v>
      </c>
      <c r="B276" s="4">
        <v>716092.7045076486</v>
      </c>
      <c r="C276" s="4">
        <v>-73341.284507648554</v>
      </c>
      <c r="L276" s="4">
        <v>250</v>
      </c>
      <c r="M276" s="4">
        <v>652094.43206772569</v>
      </c>
      <c r="N276" s="4">
        <v>-9343.0120677256491</v>
      </c>
      <c r="W276" s="4">
        <v>250</v>
      </c>
      <c r="X276" s="4">
        <v>694228.63776391488</v>
      </c>
      <c r="Y276" s="4">
        <v>-51477.217763914843</v>
      </c>
      <c r="AH276" s="4">
        <v>250</v>
      </c>
      <c r="AI276" s="4">
        <v>666232.90936047176</v>
      </c>
      <c r="AJ276" s="4">
        <v>-23481.489360471722</v>
      </c>
      <c r="AS276" s="9"/>
      <c r="AT276" s="9"/>
      <c r="AU276" s="9"/>
    </row>
    <row r="277" spans="1:47">
      <c r="A277" s="4">
        <v>251</v>
      </c>
      <c r="B277" s="4">
        <v>642471.96509616508</v>
      </c>
      <c r="C277" s="4">
        <v>5481.8149038349511</v>
      </c>
      <c r="L277" s="4">
        <v>251</v>
      </c>
      <c r="M277" s="4">
        <v>671967.09537518641</v>
      </c>
      <c r="N277" s="4">
        <v>-24013.315375186387</v>
      </c>
      <c r="W277" s="4">
        <v>251</v>
      </c>
      <c r="X277" s="4">
        <v>659962.21544896881</v>
      </c>
      <c r="Y277" s="4">
        <v>-12008.435448968783</v>
      </c>
      <c r="AH277" s="4">
        <v>251</v>
      </c>
      <c r="AI277" s="4">
        <v>680870.60017106473</v>
      </c>
      <c r="AJ277" s="4">
        <v>-32916.820171064697</v>
      </c>
      <c r="AS277" s="9"/>
      <c r="AT277" s="9"/>
      <c r="AU277" s="9"/>
    </row>
    <row r="278" spans="1:47">
      <c r="A278" s="4">
        <v>252</v>
      </c>
      <c r="B278" s="4">
        <v>768370.35018370138</v>
      </c>
      <c r="C278" s="4">
        <v>-38929.900183701422</v>
      </c>
      <c r="L278" s="4">
        <v>252</v>
      </c>
      <c r="M278" s="4">
        <v>690448.31547081424</v>
      </c>
      <c r="N278" s="4">
        <v>38992.134529185714</v>
      </c>
      <c r="W278" s="4">
        <v>252</v>
      </c>
      <c r="X278" s="4">
        <v>685766.08002621564</v>
      </c>
      <c r="Y278" s="4">
        <v>43674.369973784313</v>
      </c>
      <c r="AH278" s="4">
        <v>252</v>
      </c>
      <c r="AI278" s="4">
        <v>660466.54631387466</v>
      </c>
      <c r="AJ278" s="4">
        <v>68973.903686125297</v>
      </c>
      <c r="AS278" s="9"/>
      <c r="AT278" s="9"/>
      <c r="AU278" s="9"/>
    </row>
    <row r="279" spans="1:47">
      <c r="A279" s="4">
        <v>253</v>
      </c>
      <c r="B279" s="4">
        <v>734980.44048187463</v>
      </c>
      <c r="C279" s="4">
        <v>29968.559518125374</v>
      </c>
      <c r="L279" s="4">
        <v>253</v>
      </c>
      <c r="M279" s="4">
        <v>688378.98966860096</v>
      </c>
      <c r="N279" s="4">
        <v>76570.01033139904</v>
      </c>
      <c r="W279" s="4">
        <v>253</v>
      </c>
      <c r="X279" s="4">
        <v>690899.10685072176</v>
      </c>
      <c r="Y279" s="4">
        <v>74049.893149278243</v>
      </c>
      <c r="AH279" s="4">
        <v>253</v>
      </c>
      <c r="AI279" s="4">
        <v>704379.61874565319</v>
      </c>
      <c r="AJ279" s="4">
        <v>60569.381254346808</v>
      </c>
      <c r="AS279" s="9"/>
      <c r="AT279" s="9"/>
      <c r="AU279" s="9"/>
    </row>
    <row r="280" spans="1:47">
      <c r="A280" s="4">
        <v>254</v>
      </c>
      <c r="B280" s="4">
        <v>696180.23818153958</v>
      </c>
      <c r="C280" s="4">
        <v>102866.70181846037</v>
      </c>
      <c r="L280" s="4">
        <v>254</v>
      </c>
      <c r="M280" s="4">
        <v>691019.16396797635</v>
      </c>
      <c r="N280" s="4">
        <v>108027.7760320236</v>
      </c>
      <c r="W280" s="4">
        <v>254</v>
      </c>
      <c r="X280" s="4">
        <v>687569.57593752863</v>
      </c>
      <c r="Y280" s="4">
        <v>111477.36406247132</v>
      </c>
      <c r="AH280" s="4">
        <v>254</v>
      </c>
      <c r="AI280" s="4">
        <v>683310.21530616342</v>
      </c>
      <c r="AJ280" s="4">
        <v>115736.72469383653</v>
      </c>
      <c r="AS280" s="9"/>
      <c r="AT280" s="9"/>
      <c r="AU280" s="9"/>
    </row>
    <row r="281" spans="1:47">
      <c r="A281" s="4">
        <v>255</v>
      </c>
      <c r="B281" s="4">
        <v>721374.4559393836</v>
      </c>
      <c r="C281" s="4">
        <v>-1294.915939383558</v>
      </c>
      <c r="L281" s="4">
        <v>255</v>
      </c>
      <c r="M281" s="4">
        <v>647670.35621471819</v>
      </c>
      <c r="N281" s="4">
        <v>72409.183785281843</v>
      </c>
      <c r="W281" s="4">
        <v>255</v>
      </c>
      <c r="X281" s="4">
        <v>689650.53275827423</v>
      </c>
      <c r="Y281" s="4">
        <v>30429.007241725805</v>
      </c>
      <c r="AH281" s="4">
        <v>255</v>
      </c>
      <c r="AI281" s="4">
        <v>679761.68420056521</v>
      </c>
      <c r="AJ281" s="4">
        <v>40317.855799434823</v>
      </c>
      <c r="AS281" s="9"/>
      <c r="AT281" s="9"/>
      <c r="AU281" s="9"/>
    </row>
    <row r="282" spans="1:47">
      <c r="A282" s="4">
        <v>256</v>
      </c>
      <c r="B282" s="4">
        <v>638059.8044536981</v>
      </c>
      <c r="C282" s="4">
        <v>-25669.664453698089</v>
      </c>
      <c r="L282" s="4">
        <v>256</v>
      </c>
      <c r="M282" s="4">
        <v>652879.34875132376</v>
      </c>
      <c r="N282" s="4">
        <v>-40489.208751323749</v>
      </c>
      <c r="W282" s="4">
        <v>256</v>
      </c>
      <c r="X282" s="4">
        <v>697835.62958654074</v>
      </c>
      <c r="Y282" s="4">
        <v>-85445.489586540731</v>
      </c>
      <c r="AH282" s="4">
        <v>256</v>
      </c>
      <c r="AI282" s="4">
        <v>680648.81697696471</v>
      </c>
      <c r="AJ282" s="4">
        <v>-68258.676976964693</v>
      </c>
      <c r="AS282" s="9"/>
      <c r="AT282" s="9"/>
      <c r="AU282" s="9"/>
    </row>
    <row r="283" spans="1:47">
      <c r="A283" s="4">
        <v>257</v>
      </c>
      <c r="B283" s="4">
        <v>699780.22138557024</v>
      </c>
      <c r="C283" s="4">
        <v>140327.89861442975</v>
      </c>
      <c r="L283" s="4">
        <v>257</v>
      </c>
      <c r="M283" s="4">
        <v>737721.70664206275</v>
      </c>
      <c r="N283" s="4">
        <v>102386.41335793724</v>
      </c>
      <c r="W283" s="4">
        <v>257</v>
      </c>
      <c r="X283" s="4">
        <v>690760.37639600527</v>
      </c>
      <c r="Y283" s="4">
        <v>149347.74360399472</v>
      </c>
      <c r="AH283" s="4">
        <v>257</v>
      </c>
      <c r="AI283" s="4">
        <v>679539.90100646531</v>
      </c>
      <c r="AJ283" s="4">
        <v>160568.21899353468</v>
      </c>
      <c r="AS283" s="9"/>
      <c r="AT283" s="9"/>
      <c r="AU283" s="9"/>
    </row>
    <row r="284" spans="1:47">
      <c r="A284" s="4">
        <v>258</v>
      </c>
      <c r="B284" s="4">
        <v>621833.18580882833</v>
      </c>
      <c r="C284" s="4">
        <v>76054.904191171634</v>
      </c>
      <c r="L284" s="4">
        <v>258</v>
      </c>
      <c r="M284" s="4">
        <v>716635.99027813226</v>
      </c>
      <c r="N284" s="4">
        <v>-18747.900278132292</v>
      </c>
      <c r="W284" s="4">
        <v>258</v>
      </c>
      <c r="X284" s="4">
        <v>682020.3577488733</v>
      </c>
      <c r="Y284" s="4">
        <v>15867.732251126668</v>
      </c>
      <c r="AH284" s="4">
        <v>258</v>
      </c>
      <c r="AI284" s="4">
        <v>668228.95810737077</v>
      </c>
      <c r="AJ284" s="4">
        <v>29659.131892629201</v>
      </c>
      <c r="AS284" s="9"/>
      <c r="AT284" s="9"/>
      <c r="AU284" s="9"/>
    </row>
    <row r="285" spans="1:47">
      <c r="A285" s="4">
        <v>259</v>
      </c>
      <c r="B285" s="4">
        <v>654881.87365591538</v>
      </c>
      <c r="C285" s="4">
        <v>91233.716344084591</v>
      </c>
      <c r="L285" s="4">
        <v>259</v>
      </c>
      <c r="M285" s="4">
        <v>754454.70321513107</v>
      </c>
      <c r="N285" s="4">
        <v>-8339.1132151311031</v>
      </c>
      <c r="W285" s="4">
        <v>259</v>
      </c>
      <c r="X285" s="4">
        <v>677997.17456209834</v>
      </c>
      <c r="Y285" s="4">
        <v>68118.415437901625</v>
      </c>
      <c r="AH285" s="4">
        <v>259</v>
      </c>
      <c r="AI285" s="4">
        <v>678874.55142416561</v>
      </c>
      <c r="AJ285" s="4">
        <v>67241.038575834362</v>
      </c>
      <c r="AS285" s="9"/>
      <c r="AT285" s="9"/>
      <c r="AU285" s="9"/>
    </row>
    <row r="286" spans="1:47">
      <c r="A286" s="4">
        <v>260</v>
      </c>
      <c r="B286" s="4">
        <v>642548.39555467223</v>
      </c>
      <c r="C286" s="4">
        <v>133561.92444532772</v>
      </c>
      <c r="L286" s="4">
        <v>260</v>
      </c>
      <c r="M286" s="4">
        <v>725983.63441916415</v>
      </c>
      <c r="N286" s="4">
        <v>50126.685580835794</v>
      </c>
      <c r="W286" s="4">
        <v>260</v>
      </c>
      <c r="X286" s="4">
        <v>696864.51640352607</v>
      </c>
      <c r="Y286" s="4">
        <v>79245.803596473881</v>
      </c>
      <c r="AH286" s="4">
        <v>260</v>
      </c>
      <c r="AI286" s="4">
        <v>689298.36154686054</v>
      </c>
      <c r="AJ286" s="4">
        <v>86811.958453139407</v>
      </c>
      <c r="AS286" s="9"/>
      <c r="AT286" s="9"/>
      <c r="AU286" s="9"/>
    </row>
    <row r="287" spans="1:47">
      <c r="A287" s="4">
        <v>261</v>
      </c>
      <c r="B287" s="4">
        <v>591697.43757358496</v>
      </c>
      <c r="C287" s="4">
        <v>-62844.817573584965</v>
      </c>
      <c r="L287" s="4">
        <v>261</v>
      </c>
      <c r="M287" s="4">
        <v>555121.54361228889</v>
      </c>
      <c r="N287" s="4">
        <v>-26268.923612288898</v>
      </c>
      <c r="W287" s="4">
        <v>261</v>
      </c>
      <c r="X287" s="4">
        <v>679107.01819982938</v>
      </c>
      <c r="Y287" s="4">
        <v>-150254.39819982939</v>
      </c>
      <c r="AH287" s="4">
        <v>261</v>
      </c>
      <c r="AI287" s="4">
        <v>685084.48085896252</v>
      </c>
      <c r="AJ287" s="4">
        <v>-156231.86085896252</v>
      </c>
      <c r="AS287" s="9"/>
      <c r="AT287" s="9"/>
      <c r="AU287" s="9"/>
    </row>
    <row r="288" spans="1:47">
      <c r="A288" s="4">
        <v>262</v>
      </c>
      <c r="B288" s="4">
        <v>652962.82814521098</v>
      </c>
      <c r="C288" s="4">
        <v>-47211.498145211022</v>
      </c>
      <c r="L288" s="4">
        <v>262</v>
      </c>
      <c r="M288" s="4">
        <v>617058.60555439279</v>
      </c>
      <c r="N288" s="4">
        <v>-11307.275554392836</v>
      </c>
      <c r="W288" s="4">
        <v>262</v>
      </c>
      <c r="X288" s="4">
        <v>674390.18273947237</v>
      </c>
      <c r="Y288" s="4">
        <v>-68638.852739472408</v>
      </c>
      <c r="AH288" s="4">
        <v>262</v>
      </c>
      <c r="AI288" s="4">
        <v>678430.9850359658</v>
      </c>
      <c r="AJ288" s="4">
        <v>-72679.655035965843</v>
      </c>
      <c r="AS288" s="9"/>
      <c r="AT288" s="9"/>
      <c r="AU288" s="9"/>
    </row>
    <row r="289" spans="1:47">
      <c r="A289" s="4">
        <v>263</v>
      </c>
      <c r="B289" s="4">
        <v>670345.16732036392</v>
      </c>
      <c r="C289" s="4">
        <v>7295.4826796361012</v>
      </c>
      <c r="L289" s="4">
        <v>263</v>
      </c>
      <c r="M289" s="4">
        <v>621304.29125203693</v>
      </c>
      <c r="N289" s="4">
        <v>56336.358747963095</v>
      </c>
      <c r="W289" s="4">
        <v>263</v>
      </c>
      <c r="X289" s="4">
        <v>685904.81048093201</v>
      </c>
      <c r="Y289" s="4">
        <v>-8264.1604809319833</v>
      </c>
      <c r="AH289" s="4">
        <v>263</v>
      </c>
      <c r="AI289" s="4">
        <v>670446.79004836967</v>
      </c>
      <c r="AJ289" s="4">
        <v>7193.8599516303511</v>
      </c>
      <c r="AS289" s="9"/>
      <c r="AT289" s="9"/>
      <c r="AU289" s="9"/>
    </row>
    <row r="290" spans="1:47">
      <c r="A290" s="4">
        <v>264</v>
      </c>
      <c r="B290" s="4">
        <v>685758.41596461402</v>
      </c>
      <c r="C290" s="4">
        <v>-49145.185964614036</v>
      </c>
      <c r="L290" s="4">
        <v>264</v>
      </c>
      <c r="M290" s="4">
        <v>589907.62390811334</v>
      </c>
      <c r="N290" s="4">
        <v>46705.606091886642</v>
      </c>
      <c r="W290" s="4">
        <v>264</v>
      </c>
      <c r="X290" s="4">
        <v>667731.12091308611</v>
      </c>
      <c r="Y290" s="4">
        <v>-31117.890913086128</v>
      </c>
      <c r="AH290" s="4">
        <v>264</v>
      </c>
      <c r="AI290" s="4">
        <v>692846.89265245874</v>
      </c>
      <c r="AJ290" s="4">
        <v>-56233.662652458763</v>
      </c>
      <c r="AS290" s="9"/>
      <c r="AT290" s="9"/>
      <c r="AU290" s="9"/>
    </row>
    <row r="291" spans="1:47">
      <c r="A291" s="4">
        <v>265</v>
      </c>
      <c r="B291" s="4">
        <v>686383.76575956075</v>
      </c>
      <c r="C291" s="4">
        <v>22601.424240439199</v>
      </c>
      <c r="L291" s="4">
        <v>265</v>
      </c>
      <c r="M291" s="4">
        <v>707716.48250997218</v>
      </c>
      <c r="N291" s="4">
        <v>1268.7074900277657</v>
      </c>
      <c r="W291" s="4">
        <v>265</v>
      </c>
      <c r="X291" s="4">
        <v>684794.96684320096</v>
      </c>
      <c r="Y291" s="4">
        <v>24190.22315679898</v>
      </c>
      <c r="AH291" s="4">
        <v>265</v>
      </c>
      <c r="AI291" s="4">
        <v>697282.55653445667</v>
      </c>
      <c r="AJ291" s="4">
        <v>11702.633465543273</v>
      </c>
      <c r="AS291" s="9"/>
      <c r="AT291" s="9"/>
      <c r="AU291" s="9"/>
    </row>
    <row r="292" spans="1:47">
      <c r="A292" s="4">
        <v>266</v>
      </c>
      <c r="B292" s="4">
        <v>717204.32153289719</v>
      </c>
      <c r="C292" s="4">
        <v>50588.618467102759</v>
      </c>
      <c r="L292" s="4">
        <v>266</v>
      </c>
      <c r="M292" s="4">
        <v>736437.29752344778</v>
      </c>
      <c r="N292" s="4">
        <v>31355.642476552166</v>
      </c>
      <c r="W292" s="4">
        <v>266</v>
      </c>
      <c r="X292" s="4">
        <v>668563.50364138442</v>
      </c>
      <c r="Y292" s="4">
        <v>99229.436358615523</v>
      </c>
      <c r="AH292" s="4">
        <v>266</v>
      </c>
      <c r="AI292" s="4">
        <v>673773.53795986809</v>
      </c>
      <c r="AJ292" s="4">
        <v>94019.402040131856</v>
      </c>
      <c r="AS292" s="9"/>
      <c r="AT292" s="9"/>
      <c r="AU292" s="9"/>
    </row>
    <row r="293" spans="1:47">
      <c r="A293" s="4">
        <v>267</v>
      </c>
      <c r="B293" s="4">
        <v>681316.3986760542</v>
      </c>
      <c r="C293" s="4">
        <v>64264.111323945806</v>
      </c>
      <c r="L293" s="4">
        <v>267</v>
      </c>
      <c r="M293" s="4">
        <v>730728.81255182531</v>
      </c>
      <c r="N293" s="4">
        <v>14851.697448174702</v>
      </c>
      <c r="W293" s="4">
        <v>267</v>
      </c>
      <c r="X293" s="4">
        <v>674251.452284756</v>
      </c>
      <c r="Y293" s="4">
        <v>71329.057715244009</v>
      </c>
      <c r="AH293" s="4">
        <v>267</v>
      </c>
      <c r="AI293" s="4">
        <v>680648.81697696471</v>
      </c>
      <c r="AJ293" s="4">
        <v>64931.693023035303</v>
      </c>
      <c r="AS293" s="9"/>
      <c r="AT293" s="9"/>
      <c r="AU293" s="9"/>
    </row>
    <row r="294" spans="1:47">
      <c r="A294" s="4">
        <v>268</v>
      </c>
      <c r="B294" s="4">
        <v>704997.06336132041</v>
      </c>
      <c r="C294" s="4">
        <v>57331.246638679644</v>
      </c>
      <c r="L294" s="4">
        <v>268</v>
      </c>
      <c r="M294" s="4">
        <v>704719.52789987042</v>
      </c>
      <c r="N294" s="4">
        <v>57608.78210012964</v>
      </c>
      <c r="W294" s="4">
        <v>268</v>
      </c>
      <c r="X294" s="4">
        <v>694228.63776391488</v>
      </c>
      <c r="Y294" s="4">
        <v>68099.672236085171</v>
      </c>
      <c r="AH294" s="4">
        <v>268</v>
      </c>
      <c r="AI294" s="4">
        <v>690850.84390555974</v>
      </c>
      <c r="AJ294" s="4">
        <v>71477.466094440315</v>
      </c>
      <c r="AS294" s="9"/>
      <c r="AT294" s="9"/>
      <c r="AU294" s="9"/>
    </row>
    <row r="295" spans="1:47">
      <c r="A295" s="4">
        <v>269</v>
      </c>
      <c r="B295" s="4">
        <v>664600.3610293977</v>
      </c>
      <c r="C295" s="4">
        <v>-3966.3710293977056</v>
      </c>
      <c r="L295" s="4">
        <v>269</v>
      </c>
      <c r="M295" s="4">
        <v>733690.08913085447</v>
      </c>
      <c r="N295" s="4">
        <v>-73056.099130854476</v>
      </c>
      <c r="W295" s="4">
        <v>269</v>
      </c>
      <c r="X295" s="4">
        <v>683130.20138660434</v>
      </c>
      <c r="Y295" s="4">
        <v>-22496.211386604351</v>
      </c>
      <c r="AH295" s="4">
        <v>269</v>
      </c>
      <c r="AI295" s="4">
        <v>695286.50778755767</v>
      </c>
      <c r="AJ295" s="4">
        <v>-34652.517787557677</v>
      </c>
      <c r="AS295" s="9"/>
      <c r="AT295" s="9"/>
      <c r="AU295" s="9"/>
    </row>
    <row r="296" spans="1:47">
      <c r="A296" s="4">
        <v>270</v>
      </c>
      <c r="B296" s="4">
        <v>611706.07552148798</v>
      </c>
      <c r="C296" s="4">
        <v>127668.48447851208</v>
      </c>
      <c r="L296" s="4">
        <v>270</v>
      </c>
      <c r="M296" s="4">
        <v>732477.03607438458</v>
      </c>
      <c r="N296" s="4">
        <v>6897.5239256154746</v>
      </c>
      <c r="W296" s="4">
        <v>270</v>
      </c>
      <c r="X296" s="4">
        <v>678552.09638096381</v>
      </c>
      <c r="Y296" s="4">
        <v>60822.463619036251</v>
      </c>
      <c r="AH296" s="4">
        <v>270</v>
      </c>
      <c r="AI296" s="4">
        <v>682201.29933566402</v>
      </c>
      <c r="AJ296" s="4">
        <v>57173.260664336034</v>
      </c>
      <c r="AS296" s="9"/>
      <c r="AT296" s="9"/>
      <c r="AU296" s="9"/>
    </row>
    <row r="297" spans="1:47">
      <c r="A297" s="4">
        <v>271</v>
      </c>
      <c r="B297" s="4">
        <v>692801.00675596669</v>
      </c>
      <c r="C297" s="4">
        <v>106955.45324403327</v>
      </c>
      <c r="L297" s="4">
        <v>271</v>
      </c>
      <c r="M297" s="4">
        <v>810041.07562630507</v>
      </c>
      <c r="N297" s="4">
        <v>-10284.615626305109</v>
      </c>
      <c r="W297" s="4">
        <v>271</v>
      </c>
      <c r="X297" s="4">
        <v>670366.99955269741</v>
      </c>
      <c r="Y297" s="4">
        <v>129389.46044730255</v>
      </c>
      <c r="AH297" s="4">
        <v>271</v>
      </c>
      <c r="AI297" s="4">
        <v>679096.33461826551</v>
      </c>
      <c r="AJ297" s="4">
        <v>120660.12538173446</v>
      </c>
      <c r="AS297" s="9"/>
      <c r="AT297" s="9"/>
      <c r="AU297" s="9"/>
    </row>
    <row r="298" spans="1:47">
      <c r="A298" s="4">
        <v>272</v>
      </c>
      <c r="B298" s="4">
        <v>623269.58436728758</v>
      </c>
      <c r="C298" s="4">
        <v>-29926.584367287578</v>
      </c>
      <c r="L298" s="4">
        <v>272</v>
      </c>
      <c r="M298" s="4">
        <v>712069.20230083424</v>
      </c>
      <c r="N298" s="4">
        <v>-118726.20230083424</v>
      </c>
      <c r="W298" s="4">
        <v>272</v>
      </c>
      <c r="X298" s="4">
        <v>682436.54911302251</v>
      </c>
      <c r="Y298" s="4">
        <v>-89093.549113022513</v>
      </c>
      <c r="AH298" s="4">
        <v>272</v>
      </c>
      <c r="AI298" s="4">
        <v>675991.36990086699</v>
      </c>
      <c r="AJ298" s="4">
        <v>-82648.369900866994</v>
      </c>
      <c r="AS298" s="9"/>
      <c r="AT298" s="9"/>
      <c r="AU298" s="9"/>
    </row>
    <row r="299" spans="1:47">
      <c r="A299" s="4">
        <v>273</v>
      </c>
      <c r="B299" s="4">
        <v>668389.40793101187</v>
      </c>
      <c r="C299" s="4">
        <v>-23349.437931011897</v>
      </c>
      <c r="L299" s="4">
        <v>273</v>
      </c>
      <c r="M299" s="4">
        <v>649382.90170620498</v>
      </c>
      <c r="N299" s="4">
        <v>-4342.9317062050104</v>
      </c>
      <c r="W299" s="4">
        <v>273</v>
      </c>
      <c r="X299" s="4">
        <v>690621.64594128891</v>
      </c>
      <c r="Y299" s="4">
        <v>-45581.675941288937</v>
      </c>
      <c r="AH299" s="4">
        <v>273</v>
      </c>
      <c r="AI299" s="4">
        <v>674660.6707362677</v>
      </c>
      <c r="AJ299" s="4">
        <v>-29620.700736267725</v>
      </c>
      <c r="AS299" s="9"/>
      <c r="AT299" s="9"/>
      <c r="AU299" s="9"/>
    </row>
    <row r="300" spans="1:47">
      <c r="A300" s="4">
        <v>274</v>
      </c>
      <c r="B300" s="4">
        <v>598178.16121050634</v>
      </c>
      <c r="C300" s="4">
        <v>-36580.831210506381</v>
      </c>
      <c r="L300" s="4">
        <v>274</v>
      </c>
      <c r="M300" s="4">
        <v>565075.71428155561</v>
      </c>
      <c r="N300" s="4">
        <v>-3478.3842815556563</v>
      </c>
      <c r="W300" s="4">
        <v>274</v>
      </c>
      <c r="X300" s="4">
        <v>676609.87001493445</v>
      </c>
      <c r="Y300" s="4">
        <v>-115012.54001493449</v>
      </c>
      <c r="AH300" s="4">
        <v>274</v>
      </c>
      <c r="AI300" s="4">
        <v>680205.2505887649</v>
      </c>
      <c r="AJ300" s="4">
        <v>-118607.92058876494</v>
      </c>
      <c r="AS300" s="9"/>
      <c r="AT300" s="9"/>
      <c r="AU300" s="9"/>
    </row>
    <row r="301" spans="1:47">
      <c r="A301" s="4">
        <v>275</v>
      </c>
      <c r="B301" s="4">
        <v>662248.86265691975</v>
      </c>
      <c r="C301" s="4">
        <v>-26411.122656919761</v>
      </c>
      <c r="L301" s="4">
        <v>275</v>
      </c>
      <c r="M301" s="4">
        <v>652165.78812987101</v>
      </c>
      <c r="N301" s="4">
        <v>-16328.048129871022</v>
      </c>
      <c r="W301" s="4">
        <v>275</v>
      </c>
      <c r="X301" s="4">
        <v>678274.63547153107</v>
      </c>
      <c r="Y301" s="4">
        <v>-42436.895471531083</v>
      </c>
      <c r="AH301" s="4">
        <v>275</v>
      </c>
      <c r="AI301" s="4">
        <v>683975.56488846312</v>
      </c>
      <c r="AJ301" s="4">
        <v>-48137.824888463132</v>
      </c>
      <c r="AS301" s="9"/>
      <c r="AT301" s="9"/>
      <c r="AU301" s="9"/>
    </row>
    <row r="302" spans="1:47">
      <c r="A302" s="4">
        <v>276</v>
      </c>
      <c r="B302" s="4">
        <v>642334.92692383472</v>
      </c>
      <c r="C302" s="4">
        <v>44402.943076165277</v>
      </c>
      <c r="L302" s="4">
        <v>276</v>
      </c>
      <c r="M302" s="4">
        <v>656661.2200450236</v>
      </c>
      <c r="N302" s="4">
        <v>30076.649954976398</v>
      </c>
      <c r="W302" s="4">
        <v>276</v>
      </c>
      <c r="X302" s="4">
        <v>663569.20727159467</v>
      </c>
      <c r="Y302" s="4">
        <v>23168.662728405325</v>
      </c>
      <c r="AH302" s="4">
        <v>276</v>
      </c>
      <c r="AI302" s="4">
        <v>656918.01520827634</v>
      </c>
      <c r="AJ302" s="4">
        <v>29819.854791723657</v>
      </c>
      <c r="AS302" s="9"/>
      <c r="AT302" s="9"/>
      <c r="AU302" s="9"/>
    </row>
    <row r="303" spans="1:47">
      <c r="A303" s="4">
        <v>277</v>
      </c>
      <c r="B303" s="4">
        <v>692351.26174253295</v>
      </c>
      <c r="C303" s="4">
        <v>-19274.921742532984</v>
      </c>
      <c r="L303" s="4">
        <v>277</v>
      </c>
      <c r="M303" s="4">
        <v>751957.24104004633</v>
      </c>
      <c r="N303" s="4">
        <v>-78880.901040046359</v>
      </c>
      <c r="W303" s="4">
        <v>277</v>
      </c>
      <c r="X303" s="4">
        <v>679800.67047341121</v>
      </c>
      <c r="Y303" s="4">
        <v>-6724.3304734112462</v>
      </c>
      <c r="AH303" s="4">
        <v>277</v>
      </c>
      <c r="AI303" s="4">
        <v>678652.7682300657</v>
      </c>
      <c r="AJ303" s="4">
        <v>-5576.428230065736</v>
      </c>
      <c r="AS303" s="9"/>
      <c r="AT303" s="9"/>
      <c r="AU303" s="9"/>
    </row>
    <row r="304" spans="1:47">
      <c r="A304" s="4">
        <v>278</v>
      </c>
      <c r="B304" s="4">
        <v>639214.56667508371</v>
      </c>
      <c r="C304" s="4">
        <v>99333.85332491633</v>
      </c>
      <c r="L304" s="4">
        <v>278</v>
      </c>
      <c r="M304" s="4">
        <v>731870.50954614975</v>
      </c>
      <c r="N304" s="4">
        <v>6677.910453850287</v>
      </c>
      <c r="W304" s="4">
        <v>278</v>
      </c>
      <c r="X304" s="4">
        <v>697835.62958654074</v>
      </c>
      <c r="Y304" s="4">
        <v>40712.790413459297</v>
      </c>
      <c r="AH304" s="4">
        <v>278</v>
      </c>
      <c r="AI304" s="4">
        <v>681535.94975336432</v>
      </c>
      <c r="AJ304" s="4">
        <v>57012.470246635727</v>
      </c>
      <c r="AS304" s="9"/>
      <c r="AT304" s="9"/>
      <c r="AU304" s="9"/>
    </row>
    <row r="305" spans="1:47">
      <c r="A305" s="4">
        <v>279</v>
      </c>
      <c r="B305" s="4">
        <v>664294.74567413528</v>
      </c>
      <c r="C305" s="4">
        <v>92325.024325864739</v>
      </c>
      <c r="L305" s="4">
        <v>279</v>
      </c>
      <c r="M305" s="4">
        <v>779072.54465525306</v>
      </c>
      <c r="N305" s="4">
        <v>-22452.774655253044</v>
      </c>
      <c r="W305" s="4">
        <v>279</v>
      </c>
      <c r="X305" s="4">
        <v>668286.04273195169</v>
      </c>
      <c r="Y305" s="4">
        <v>88333.727268048329</v>
      </c>
      <c r="AH305" s="4">
        <v>279</v>
      </c>
      <c r="AI305" s="4">
        <v>676656.7194831667</v>
      </c>
      <c r="AJ305" s="4">
        <v>79963.050516833318</v>
      </c>
      <c r="AS305" s="9"/>
      <c r="AT305" s="9"/>
      <c r="AU305" s="9"/>
    </row>
    <row r="306" spans="1:47">
      <c r="A306" s="4">
        <v>280</v>
      </c>
      <c r="B306" s="4">
        <v>710452.54554828024</v>
      </c>
      <c r="C306" s="4">
        <v>50669.874451719807</v>
      </c>
      <c r="L306" s="4">
        <v>280</v>
      </c>
      <c r="M306" s="4">
        <v>771401.76797463535</v>
      </c>
      <c r="N306" s="4">
        <v>-10279.347974635311</v>
      </c>
      <c r="W306" s="4">
        <v>280</v>
      </c>
      <c r="X306" s="4">
        <v>697280.70776767517</v>
      </c>
      <c r="Y306" s="4">
        <v>63841.712232324877</v>
      </c>
      <c r="AH306" s="4">
        <v>280</v>
      </c>
      <c r="AI306" s="4">
        <v>677765.63545366609</v>
      </c>
      <c r="AJ306" s="4">
        <v>83356.784546333947</v>
      </c>
      <c r="AS306" s="9"/>
      <c r="AT306" s="9"/>
      <c r="AU306" s="9"/>
    </row>
    <row r="307" spans="1:47">
      <c r="A307" s="4">
        <v>281</v>
      </c>
      <c r="B307" s="4">
        <v>658610.86653329153</v>
      </c>
      <c r="C307" s="4">
        <v>-133711.29653329158</v>
      </c>
      <c r="L307" s="4">
        <v>281</v>
      </c>
      <c r="M307" s="4">
        <v>589907.62390811334</v>
      </c>
      <c r="N307" s="4">
        <v>-65008.05390811339</v>
      </c>
      <c r="W307" s="4">
        <v>281</v>
      </c>
      <c r="X307" s="4">
        <v>688263.22821111046</v>
      </c>
      <c r="Y307" s="4">
        <v>-163363.65821111051</v>
      </c>
      <c r="AH307" s="4">
        <v>281</v>
      </c>
      <c r="AI307" s="4">
        <v>668894.30768967047</v>
      </c>
      <c r="AJ307" s="4">
        <v>-143994.73768967052</v>
      </c>
      <c r="AS307" s="9"/>
      <c r="AT307" s="9"/>
      <c r="AU307" s="9"/>
    </row>
    <row r="308" spans="1:47">
      <c r="A308" s="4">
        <v>282</v>
      </c>
      <c r="B308" s="4">
        <v>634825.36285464815</v>
      </c>
      <c r="C308" s="4">
        <v>-79267.59285464813</v>
      </c>
      <c r="L308" s="4">
        <v>282</v>
      </c>
      <c r="M308" s="4">
        <v>601788.40825530258</v>
      </c>
      <c r="N308" s="4">
        <v>-46230.638255302561</v>
      </c>
      <c r="W308" s="4">
        <v>282</v>
      </c>
      <c r="X308" s="4">
        <v>690760.37639600527</v>
      </c>
      <c r="Y308" s="4">
        <v>-135202.60639600526</v>
      </c>
      <c r="AH308" s="4">
        <v>282</v>
      </c>
      <c r="AI308" s="4">
        <v>679761.68420056521</v>
      </c>
      <c r="AJ308" s="4">
        <v>-124203.9142005652</v>
      </c>
      <c r="AS308" s="9"/>
      <c r="AT308" s="9"/>
      <c r="AU308" s="9"/>
    </row>
    <row r="309" spans="1:47">
      <c r="A309" s="4">
        <v>283</v>
      </c>
      <c r="B309" s="4">
        <v>701551.19752374734</v>
      </c>
      <c r="C309" s="4">
        <v>12532.482476252713</v>
      </c>
      <c r="L309" s="4">
        <v>283</v>
      </c>
      <c r="M309" s="4">
        <v>651380.87144627282</v>
      </c>
      <c r="N309" s="4">
        <v>62702.808553727227</v>
      </c>
      <c r="W309" s="4">
        <v>283</v>
      </c>
      <c r="X309" s="4">
        <v>688124.49775639409</v>
      </c>
      <c r="Y309" s="4">
        <v>25959.182243605959</v>
      </c>
      <c r="AH309" s="4">
        <v>283</v>
      </c>
      <c r="AI309" s="4">
        <v>697282.55653445667</v>
      </c>
      <c r="AJ309" s="4">
        <v>16801.12346554338</v>
      </c>
      <c r="AS309" s="9"/>
      <c r="AT309" s="9"/>
      <c r="AU309" s="9"/>
    </row>
    <row r="310" spans="1:47">
      <c r="A310" s="4">
        <v>284</v>
      </c>
      <c r="B310" s="4">
        <v>600385.76417809899</v>
      </c>
      <c r="C310" s="4">
        <v>-102945.94417809899</v>
      </c>
      <c r="L310" s="4">
        <v>284</v>
      </c>
      <c r="M310" s="4">
        <v>554407.98299083614</v>
      </c>
      <c r="N310" s="4">
        <v>-56968.162990836136</v>
      </c>
      <c r="W310" s="4">
        <v>284</v>
      </c>
      <c r="X310" s="4">
        <v>680910.51411114226</v>
      </c>
      <c r="Y310" s="4">
        <v>-183470.69411114225</v>
      </c>
      <c r="AH310" s="4">
        <v>284</v>
      </c>
      <c r="AI310" s="4">
        <v>664236.86061357276</v>
      </c>
      <c r="AJ310" s="4">
        <v>-166797.04061357275</v>
      </c>
      <c r="AS310" s="9"/>
      <c r="AT310" s="9"/>
      <c r="AU310" s="9"/>
    </row>
    <row r="311" spans="1:47">
      <c r="A311" s="4">
        <v>285</v>
      </c>
      <c r="B311" s="4">
        <v>688941.70516429527</v>
      </c>
      <c r="C311" s="4">
        <v>-52166.045164295239</v>
      </c>
      <c r="L311" s="4">
        <v>285</v>
      </c>
      <c r="M311" s="4">
        <v>644851.79175997968</v>
      </c>
      <c r="N311" s="4">
        <v>-8076.1317599796457</v>
      </c>
      <c r="W311" s="4">
        <v>285</v>
      </c>
      <c r="X311" s="4">
        <v>696587.05549409334</v>
      </c>
      <c r="Y311" s="4">
        <v>-59811.395494093304</v>
      </c>
      <c r="AH311" s="4">
        <v>285</v>
      </c>
      <c r="AI311" s="4">
        <v>676213.1530949669</v>
      </c>
      <c r="AJ311" s="4">
        <v>-39437.493094966863</v>
      </c>
      <c r="AS311" s="9"/>
      <c r="AT311" s="9"/>
      <c r="AU311" s="9"/>
    </row>
    <row r="312" spans="1:47">
      <c r="A312" s="4">
        <v>286</v>
      </c>
      <c r="B312" s="4">
        <v>719514.05893320113</v>
      </c>
      <c r="C312" s="4">
        <v>-86504.528933201102</v>
      </c>
      <c r="L312" s="4">
        <v>286</v>
      </c>
      <c r="M312" s="4">
        <v>606497.90835689125</v>
      </c>
      <c r="N312" s="4">
        <v>26511.621643108781</v>
      </c>
      <c r="W312" s="4">
        <v>286</v>
      </c>
      <c r="X312" s="4">
        <v>678413.36592624744</v>
      </c>
      <c r="Y312" s="4">
        <v>-45403.835926247411</v>
      </c>
      <c r="AH312" s="4">
        <v>286</v>
      </c>
      <c r="AI312" s="4">
        <v>685306.26405306254</v>
      </c>
      <c r="AJ312" s="4">
        <v>-52296.734053062508</v>
      </c>
      <c r="AS312" s="9"/>
      <c r="AT312" s="9"/>
      <c r="AU312" s="9"/>
    </row>
    <row r="313" spans="1:47">
      <c r="A313" s="4">
        <v>287</v>
      </c>
      <c r="B313" s="4">
        <v>678696.12660148111</v>
      </c>
      <c r="C313" s="4">
        <v>-68747.126601481112</v>
      </c>
      <c r="L313" s="4">
        <v>287</v>
      </c>
      <c r="M313" s="4">
        <v>594902.54825828306</v>
      </c>
      <c r="N313" s="4">
        <v>15046.451741716941</v>
      </c>
      <c r="W313" s="4">
        <v>287</v>
      </c>
      <c r="X313" s="4">
        <v>672447.95637344313</v>
      </c>
      <c r="Y313" s="4">
        <v>-62498.956373443129</v>
      </c>
      <c r="AH313" s="4">
        <v>287</v>
      </c>
      <c r="AI313" s="4">
        <v>688854.79515866074</v>
      </c>
      <c r="AJ313" s="4">
        <v>-78905.795158660738</v>
      </c>
      <c r="AS313" s="9"/>
      <c r="AT313" s="9"/>
      <c r="AU313" s="9"/>
    </row>
    <row r="314" spans="1:47">
      <c r="A314" s="4">
        <v>288</v>
      </c>
      <c r="B314" s="4">
        <v>647938.07386400958</v>
      </c>
      <c r="C314" s="4">
        <v>-99834.373864009627</v>
      </c>
      <c r="L314" s="4">
        <v>288</v>
      </c>
      <c r="M314" s="4">
        <v>592476.4421453434</v>
      </c>
      <c r="N314" s="4">
        <v>-44372.742145343451</v>
      </c>
      <c r="W314" s="4">
        <v>288</v>
      </c>
      <c r="X314" s="4">
        <v>673696.53046589054</v>
      </c>
      <c r="Y314" s="4">
        <v>-125592.83046589058</v>
      </c>
      <c r="AH314" s="4">
        <v>288</v>
      </c>
      <c r="AI314" s="4">
        <v>667563.60852507118</v>
      </c>
      <c r="AJ314" s="4">
        <v>-119459.90852507122</v>
      </c>
      <c r="AS314" s="9"/>
      <c r="AT314" s="9"/>
      <c r="AU314" s="9"/>
    </row>
    <row r="315" spans="1:47">
      <c r="A315" s="4">
        <v>289</v>
      </c>
      <c r="B315" s="4">
        <v>709874.04641054035</v>
      </c>
      <c r="C315" s="4">
        <v>19550.37358945969</v>
      </c>
      <c r="L315" s="4">
        <v>289</v>
      </c>
      <c r="M315" s="4">
        <v>749102.99855423509</v>
      </c>
      <c r="N315" s="4">
        <v>-19678.57855423505</v>
      </c>
      <c r="W315" s="4">
        <v>289</v>
      </c>
      <c r="X315" s="4">
        <v>659962.21544896881</v>
      </c>
      <c r="Y315" s="4">
        <v>69462.204551031231</v>
      </c>
      <c r="AH315" s="4">
        <v>289</v>
      </c>
      <c r="AI315" s="4">
        <v>646494.2050855814</v>
      </c>
      <c r="AJ315" s="4">
        <v>82930.214914418641</v>
      </c>
      <c r="AS315" s="9"/>
      <c r="AT315" s="9"/>
      <c r="AU315" s="9"/>
    </row>
    <row r="316" spans="1:47">
      <c r="A316" s="4">
        <v>290</v>
      </c>
      <c r="B316" s="4">
        <v>707524.80538790964</v>
      </c>
      <c r="C316" s="4">
        <v>-11263.31538790965</v>
      </c>
      <c r="L316" s="4">
        <v>290</v>
      </c>
      <c r="M316" s="4">
        <v>724485.15711411322</v>
      </c>
      <c r="N316" s="4">
        <v>-28223.667114113225</v>
      </c>
      <c r="W316" s="4">
        <v>290</v>
      </c>
      <c r="X316" s="4">
        <v>658436.18044708867</v>
      </c>
      <c r="Y316" s="4">
        <v>37825.30955291132</v>
      </c>
      <c r="AH316" s="4">
        <v>290</v>
      </c>
      <c r="AI316" s="4">
        <v>682201.29933566402</v>
      </c>
      <c r="AJ316" s="4">
        <v>14060.190664335969</v>
      </c>
      <c r="AS316" s="9"/>
      <c r="AT316" s="9"/>
      <c r="AU316" s="9"/>
    </row>
    <row r="317" spans="1:47">
      <c r="A317" s="4">
        <v>291</v>
      </c>
      <c r="B317" s="4">
        <v>681603.69968349941</v>
      </c>
      <c r="C317" s="4">
        <v>131713.01031650056</v>
      </c>
      <c r="L317" s="4">
        <v>291</v>
      </c>
      <c r="M317" s="4">
        <v>742538.24083686923</v>
      </c>
      <c r="N317" s="4">
        <v>70778.469163130736</v>
      </c>
      <c r="W317" s="4">
        <v>291</v>
      </c>
      <c r="X317" s="4">
        <v>693396.25503561657</v>
      </c>
      <c r="Y317" s="4">
        <v>119920.45496438339</v>
      </c>
      <c r="AH317" s="4">
        <v>291</v>
      </c>
      <c r="AI317" s="4">
        <v>669337.87407787028</v>
      </c>
      <c r="AJ317" s="4">
        <v>143978.83592212969</v>
      </c>
      <c r="AS317" s="9"/>
      <c r="AT317" s="9"/>
      <c r="AU317" s="9"/>
    </row>
    <row r="318" spans="1:47">
      <c r="A318" s="4">
        <v>292</v>
      </c>
      <c r="B318" s="4">
        <v>675946.71707904304</v>
      </c>
      <c r="C318" s="4">
        <v>26122.202920957003</v>
      </c>
      <c r="L318" s="4">
        <v>292</v>
      </c>
      <c r="M318" s="4">
        <v>699118.07702146587</v>
      </c>
      <c r="N318" s="4">
        <v>2950.8429785341723</v>
      </c>
      <c r="W318" s="4">
        <v>292</v>
      </c>
      <c r="X318" s="4">
        <v>697835.62958654074</v>
      </c>
      <c r="Y318" s="4">
        <v>4233.2904134592973</v>
      </c>
      <c r="AH318" s="4">
        <v>292</v>
      </c>
      <c r="AI318" s="4">
        <v>699943.95486365538</v>
      </c>
      <c r="AJ318" s="4">
        <v>2124.965136344661</v>
      </c>
      <c r="AS318" s="9"/>
      <c r="AT318" s="9"/>
      <c r="AU318" s="9"/>
    </row>
    <row r="319" spans="1:47">
      <c r="A319" s="4">
        <v>293</v>
      </c>
      <c r="B319" s="4">
        <v>671507.42564690253</v>
      </c>
      <c r="C319" s="4">
        <v>-125283.72564690257</v>
      </c>
      <c r="L319" s="4">
        <v>293</v>
      </c>
      <c r="M319" s="4">
        <v>583200.15406645695</v>
      </c>
      <c r="N319" s="4">
        <v>-36976.454066456994</v>
      </c>
      <c r="W319" s="4">
        <v>293</v>
      </c>
      <c r="X319" s="4">
        <v>684517.50593376823</v>
      </c>
      <c r="Y319" s="4">
        <v>-138293.80593376828</v>
      </c>
      <c r="AH319" s="4">
        <v>293</v>
      </c>
      <c r="AI319" s="4">
        <v>677100.2858713665</v>
      </c>
      <c r="AJ319" s="4">
        <v>-130876.58587136655</v>
      </c>
      <c r="AS319" s="9"/>
      <c r="AT319" s="9"/>
      <c r="AU319" s="9"/>
    </row>
    <row r="320" spans="1:47">
      <c r="A320" s="4">
        <v>294</v>
      </c>
      <c r="B320" s="4">
        <v>646179.44926273264</v>
      </c>
      <c r="C320" s="4">
        <v>-113058.18926273263</v>
      </c>
      <c r="L320" s="4">
        <v>294</v>
      </c>
      <c r="M320" s="4">
        <v>530539.38020323962</v>
      </c>
      <c r="N320" s="4">
        <v>2581.8797967603896</v>
      </c>
      <c r="W320" s="4">
        <v>294</v>
      </c>
      <c r="X320" s="4">
        <v>681326.70547529147</v>
      </c>
      <c r="Y320" s="4">
        <v>-148205.44547529146</v>
      </c>
      <c r="AH320" s="4">
        <v>294</v>
      </c>
      <c r="AI320" s="4">
        <v>681535.94975336432</v>
      </c>
      <c r="AJ320" s="4">
        <v>-148414.68975336431</v>
      </c>
      <c r="AS320" s="9"/>
      <c r="AT320" s="9"/>
      <c r="AU320" s="9"/>
    </row>
    <row r="321" spans="1:47">
      <c r="A321" s="4">
        <v>295</v>
      </c>
      <c r="B321" s="4">
        <v>688180.27550591552</v>
      </c>
      <c r="C321" s="4">
        <v>-189209.95550591551</v>
      </c>
      <c r="L321" s="4">
        <v>295</v>
      </c>
      <c r="M321" s="4">
        <v>490330.23918437387</v>
      </c>
      <c r="N321" s="4">
        <v>8640.0808156261337</v>
      </c>
      <c r="W321" s="4">
        <v>295</v>
      </c>
      <c r="X321" s="4">
        <v>668147.31227723532</v>
      </c>
      <c r="Y321" s="4">
        <v>-169176.99227723532</v>
      </c>
      <c r="AH321" s="4">
        <v>295</v>
      </c>
      <c r="AI321" s="4">
        <v>672886.40518346848</v>
      </c>
      <c r="AJ321" s="4">
        <v>-173916.08518346847</v>
      </c>
      <c r="AS321" s="9"/>
      <c r="AT321" s="9"/>
      <c r="AU321" s="9"/>
    </row>
    <row r="322" spans="1:47">
      <c r="A322" s="4">
        <v>296</v>
      </c>
      <c r="B322" s="4">
        <v>619124.04655583482</v>
      </c>
      <c r="C322" s="4">
        <v>-131385.78655583481</v>
      </c>
      <c r="L322" s="4">
        <v>296</v>
      </c>
      <c r="M322" s="4">
        <v>507883.83047211292</v>
      </c>
      <c r="N322" s="4">
        <v>-20145.570472112915</v>
      </c>
      <c r="W322" s="4">
        <v>296</v>
      </c>
      <c r="X322" s="4">
        <v>674112.72183003963</v>
      </c>
      <c r="Y322" s="4">
        <v>-186374.46183003963</v>
      </c>
      <c r="AH322" s="4">
        <v>296</v>
      </c>
      <c r="AI322" s="4">
        <v>664458.64380767266</v>
      </c>
      <c r="AJ322" s="4">
        <v>-176720.38380767265</v>
      </c>
      <c r="AS322" s="9"/>
      <c r="AT322" s="9"/>
      <c r="AU322" s="9"/>
    </row>
    <row r="323" spans="1:47">
      <c r="A323" s="4">
        <v>297</v>
      </c>
      <c r="B323" s="4">
        <v>679180.79665028735</v>
      </c>
      <c r="C323" s="4">
        <v>-10721.426650287351</v>
      </c>
      <c r="L323" s="4">
        <v>297</v>
      </c>
      <c r="M323" s="4">
        <v>656768.25413824152</v>
      </c>
      <c r="N323" s="4">
        <v>11691.115861758473</v>
      </c>
      <c r="W323" s="4">
        <v>297</v>
      </c>
      <c r="X323" s="4">
        <v>692841.33321675099</v>
      </c>
      <c r="Y323" s="4">
        <v>-24381.963216750999</v>
      </c>
      <c r="AH323" s="4">
        <v>297</v>
      </c>
      <c r="AI323" s="4">
        <v>691294.41029375955</v>
      </c>
      <c r="AJ323" s="4">
        <v>-22835.04029375955</v>
      </c>
      <c r="AS323" s="9"/>
      <c r="AT323" s="9"/>
      <c r="AU323" s="9"/>
    </row>
    <row r="324" spans="1:47">
      <c r="A324" s="4">
        <v>298</v>
      </c>
      <c r="B324" s="4">
        <v>678921.09493908775</v>
      </c>
      <c r="C324" s="4">
        <v>84241.355060912203</v>
      </c>
      <c r="L324" s="4">
        <v>298</v>
      </c>
      <c r="M324" s="4">
        <v>657018.00035575009</v>
      </c>
      <c r="N324" s="4">
        <v>106144.44964424986</v>
      </c>
      <c r="W324" s="4">
        <v>298</v>
      </c>
      <c r="X324" s="4">
        <v>683685.12320546992</v>
      </c>
      <c r="Y324" s="4">
        <v>79477.326794530032</v>
      </c>
      <c r="AH324" s="4">
        <v>298</v>
      </c>
      <c r="AI324" s="4">
        <v>698169.68931085616</v>
      </c>
      <c r="AJ324" s="4">
        <v>64992.76068914379</v>
      </c>
      <c r="AS324" s="9"/>
      <c r="AT324" s="9"/>
      <c r="AU324" s="9"/>
    </row>
    <row r="325" spans="1:47">
      <c r="A325" s="4">
        <v>299</v>
      </c>
      <c r="B325" s="4">
        <v>659109.84732829907</v>
      </c>
      <c r="C325" s="4">
        <v>-60092.517328299116</v>
      </c>
      <c r="L325" s="4">
        <v>299</v>
      </c>
      <c r="M325" s="4">
        <v>621161.5791277464</v>
      </c>
      <c r="N325" s="4">
        <v>-22144.249127746443</v>
      </c>
      <c r="W325" s="4">
        <v>299</v>
      </c>
      <c r="X325" s="4">
        <v>682020.3577488733</v>
      </c>
      <c r="Y325" s="4">
        <v>-83003.027748873341</v>
      </c>
      <c r="AH325" s="4">
        <v>299</v>
      </c>
      <c r="AI325" s="4">
        <v>688189.44557636115</v>
      </c>
      <c r="AJ325" s="4">
        <v>-89172.11557636119</v>
      </c>
      <c r="AS325" s="9"/>
      <c r="AT325" s="9"/>
      <c r="AU325" s="9"/>
    </row>
    <row r="326" spans="1:47">
      <c r="A326" s="4">
        <v>300</v>
      </c>
      <c r="B326" s="4">
        <v>612660.14656400145</v>
      </c>
      <c r="C326" s="4">
        <v>-211077.56656400143</v>
      </c>
      <c r="L326" s="4">
        <v>300</v>
      </c>
      <c r="M326" s="4">
        <v>498571.86436215381</v>
      </c>
      <c r="N326" s="4">
        <v>-96989.28436215379</v>
      </c>
      <c r="W326" s="4">
        <v>300</v>
      </c>
      <c r="X326" s="4">
        <v>681604.1663847242</v>
      </c>
      <c r="Y326" s="4">
        <v>-280021.58638472419</v>
      </c>
      <c r="AH326" s="4">
        <v>300</v>
      </c>
      <c r="AI326" s="4">
        <v>682866.64891796373</v>
      </c>
      <c r="AJ326" s="4">
        <v>-281284.06891796371</v>
      </c>
      <c r="AS326" s="9"/>
      <c r="AT326" s="9"/>
      <c r="AU326" s="9"/>
    </row>
    <row r="327" spans="1:47">
      <c r="A327" s="4">
        <v>301</v>
      </c>
      <c r="B327" s="4">
        <v>647339.62060545024</v>
      </c>
      <c r="C327" s="4">
        <v>56473.369394549751</v>
      </c>
      <c r="L327" s="4">
        <v>301</v>
      </c>
      <c r="M327" s="4">
        <v>740825.69534538244</v>
      </c>
      <c r="N327" s="4">
        <v>-37012.705345382448</v>
      </c>
      <c r="W327" s="4">
        <v>301</v>
      </c>
      <c r="X327" s="4">
        <v>678274.63547153107</v>
      </c>
      <c r="Y327" s="4">
        <v>25538.354528468917</v>
      </c>
      <c r="AH327" s="4">
        <v>301</v>
      </c>
      <c r="AI327" s="4">
        <v>680427.03378286492</v>
      </c>
      <c r="AJ327" s="4">
        <v>23385.95621713507</v>
      </c>
      <c r="AS327" s="9"/>
      <c r="AT327" s="9"/>
      <c r="AU327" s="9"/>
    </row>
    <row r="328" spans="1:47">
      <c r="A328" s="4">
        <v>302</v>
      </c>
      <c r="B328" s="4">
        <v>697042.4393444208</v>
      </c>
      <c r="C328" s="4">
        <v>27304.290655579185</v>
      </c>
      <c r="L328" s="4">
        <v>302</v>
      </c>
      <c r="M328" s="4">
        <v>731442.37317327806</v>
      </c>
      <c r="N328" s="4">
        <v>-7095.6431732780766</v>
      </c>
      <c r="W328" s="4">
        <v>302</v>
      </c>
      <c r="X328" s="4">
        <v>687569.57593752863</v>
      </c>
      <c r="Y328" s="4">
        <v>36777.154062471353</v>
      </c>
      <c r="AH328" s="4">
        <v>302</v>
      </c>
      <c r="AI328" s="4">
        <v>669559.65727197018</v>
      </c>
      <c r="AJ328" s="4">
        <v>54787.072728029802</v>
      </c>
      <c r="AS328" s="9"/>
      <c r="AT328" s="9"/>
      <c r="AU328" s="9"/>
    </row>
    <row r="329" spans="1:47">
      <c r="A329" s="4">
        <v>303</v>
      </c>
      <c r="B329" s="4">
        <v>673312.09166676202</v>
      </c>
      <c r="C329" s="4">
        <v>57577.918333237991</v>
      </c>
      <c r="L329" s="4">
        <v>303</v>
      </c>
      <c r="M329" s="4">
        <v>741396.54384254478</v>
      </c>
      <c r="N329" s="4">
        <v>-10506.53384254477</v>
      </c>
      <c r="W329" s="4">
        <v>303</v>
      </c>
      <c r="X329" s="4">
        <v>678690.82683568017</v>
      </c>
      <c r="Y329" s="4">
        <v>52199.183164319838</v>
      </c>
      <c r="AH329" s="4">
        <v>303</v>
      </c>
      <c r="AI329" s="4">
        <v>678430.9850359658</v>
      </c>
      <c r="AJ329" s="4">
        <v>52459.024964034208</v>
      </c>
      <c r="AS329" s="9"/>
      <c r="AT329" s="9"/>
      <c r="AU329" s="9"/>
    </row>
    <row r="330" spans="1:47">
      <c r="A330" s="4">
        <v>304</v>
      </c>
      <c r="B330" s="4">
        <v>628917.89960016066</v>
      </c>
      <c r="C330" s="4">
        <v>151663.0503998393</v>
      </c>
      <c r="L330" s="4">
        <v>304</v>
      </c>
      <c r="M330" s="4">
        <v>738363.9112013703</v>
      </c>
      <c r="N330" s="4">
        <v>42217.038798629656</v>
      </c>
      <c r="W330" s="4">
        <v>304</v>
      </c>
      <c r="X330" s="4">
        <v>670366.99955269741</v>
      </c>
      <c r="Y330" s="4">
        <v>110213.95044730254</v>
      </c>
      <c r="AH330" s="4">
        <v>304</v>
      </c>
      <c r="AI330" s="4">
        <v>691072.62709965964</v>
      </c>
      <c r="AJ330" s="4">
        <v>89508.32290034031</v>
      </c>
      <c r="AS330" s="9"/>
      <c r="AT330" s="9"/>
      <c r="AU330" s="9"/>
    </row>
    <row r="331" spans="1:47">
      <c r="A331" s="4">
        <v>305</v>
      </c>
      <c r="B331" s="4">
        <v>677793.29314134945</v>
      </c>
      <c r="C331" s="4">
        <v>50164.18685865053</v>
      </c>
      <c r="L331" s="4">
        <v>305</v>
      </c>
      <c r="M331" s="4">
        <v>679530.8379625862</v>
      </c>
      <c r="N331" s="4">
        <v>48426.642037413782</v>
      </c>
      <c r="W331" s="4">
        <v>305</v>
      </c>
      <c r="X331" s="4">
        <v>672447.95637344313</v>
      </c>
      <c r="Y331" s="4">
        <v>55509.523626556853</v>
      </c>
      <c r="AH331" s="4">
        <v>305</v>
      </c>
      <c r="AI331" s="4">
        <v>694399.37501115806</v>
      </c>
      <c r="AJ331" s="4">
        <v>33558.104988841922</v>
      </c>
      <c r="AS331" s="9"/>
      <c r="AT331" s="9"/>
      <c r="AU331" s="9"/>
    </row>
    <row r="332" spans="1:47">
      <c r="A332" s="4">
        <v>306</v>
      </c>
      <c r="B332" s="4">
        <v>659049.23961447587</v>
      </c>
      <c r="C332" s="4">
        <v>-120673.23961447587</v>
      </c>
      <c r="L332" s="4">
        <v>306</v>
      </c>
      <c r="M332" s="4">
        <v>653485.87527955859</v>
      </c>
      <c r="N332" s="4">
        <v>-115109.87527955859</v>
      </c>
      <c r="W332" s="4">
        <v>306</v>
      </c>
      <c r="X332" s="4">
        <v>691315.29821487085</v>
      </c>
      <c r="Y332" s="4">
        <v>-152939.29821487085</v>
      </c>
      <c r="AH332" s="4">
        <v>306</v>
      </c>
      <c r="AI332" s="4">
        <v>677543.85225956631</v>
      </c>
      <c r="AJ332" s="4">
        <v>-139167.85225956631</v>
      </c>
      <c r="AS332" s="9"/>
      <c r="AT332" s="9"/>
      <c r="AU332" s="9"/>
    </row>
    <row r="333" spans="1:47">
      <c r="A333" s="4">
        <v>307</v>
      </c>
      <c r="B333" s="4">
        <v>608452.7019977757</v>
      </c>
      <c r="C333" s="4">
        <v>56889.78800222429</v>
      </c>
      <c r="L333" s="4">
        <v>307</v>
      </c>
      <c r="M333" s="4">
        <v>671217.85672266094</v>
      </c>
      <c r="N333" s="4">
        <v>-5875.3667226609541</v>
      </c>
      <c r="W333" s="4">
        <v>307</v>
      </c>
      <c r="X333" s="4">
        <v>677580.98319794913</v>
      </c>
      <c r="Y333" s="4">
        <v>-12238.493197949138</v>
      </c>
      <c r="AH333" s="4">
        <v>307</v>
      </c>
      <c r="AI333" s="4">
        <v>675326.02031856729</v>
      </c>
      <c r="AJ333" s="4">
        <v>-9983.5303185672965</v>
      </c>
      <c r="AS333" s="9"/>
      <c r="AT333" s="9"/>
      <c r="AU333" s="9"/>
    </row>
    <row r="334" spans="1:47">
      <c r="A334" s="4">
        <v>308</v>
      </c>
      <c r="B334" s="4">
        <v>690008.60110766452</v>
      </c>
      <c r="C334" s="4">
        <v>-38844.421107664471</v>
      </c>
      <c r="L334" s="4">
        <v>308</v>
      </c>
      <c r="M334" s="4">
        <v>674714.30376777973</v>
      </c>
      <c r="N334" s="4">
        <v>-23550.123767779674</v>
      </c>
      <c r="W334" s="4">
        <v>308</v>
      </c>
      <c r="X334" s="4">
        <v>687430.84548281215</v>
      </c>
      <c r="Y334" s="4">
        <v>-36266.665482812095</v>
      </c>
      <c r="AH334" s="4">
        <v>308</v>
      </c>
      <c r="AI334" s="4">
        <v>704379.61874565319</v>
      </c>
      <c r="AJ334" s="4">
        <v>-53215.43874565314</v>
      </c>
      <c r="AS334" s="9"/>
      <c r="AT334" s="9"/>
      <c r="AU334" s="9"/>
    </row>
    <row r="335" spans="1:47">
      <c r="A335" s="4">
        <v>309</v>
      </c>
      <c r="B335" s="4">
        <v>663988.49144627457</v>
      </c>
      <c r="C335" s="4">
        <v>-35450.191446274519</v>
      </c>
      <c r="L335" s="4">
        <v>309</v>
      </c>
      <c r="M335" s="4">
        <v>651880.36388128984</v>
      </c>
      <c r="N335" s="4">
        <v>-23342.063881289796</v>
      </c>
      <c r="W335" s="4">
        <v>309</v>
      </c>
      <c r="X335" s="4">
        <v>676471.13956021809</v>
      </c>
      <c r="Y335" s="4">
        <v>-47932.839560218039</v>
      </c>
      <c r="AH335" s="4">
        <v>309</v>
      </c>
      <c r="AI335" s="4">
        <v>678874.55142416561</v>
      </c>
      <c r="AJ335" s="4">
        <v>-50336.251424165559</v>
      </c>
      <c r="AS335" s="9"/>
      <c r="AT335" s="9"/>
      <c r="AU335" s="9"/>
    </row>
    <row r="336" spans="1:47">
      <c r="A336" s="4">
        <v>310</v>
      </c>
      <c r="B336" s="4">
        <v>611253.34910259559</v>
      </c>
      <c r="C336" s="4">
        <v>-74728.509102595621</v>
      </c>
      <c r="L336" s="4">
        <v>310</v>
      </c>
      <c r="M336" s="4">
        <v>634968.97715285828</v>
      </c>
      <c r="N336" s="4">
        <v>-98444.137152858311</v>
      </c>
      <c r="W336" s="4">
        <v>310</v>
      </c>
      <c r="X336" s="4">
        <v>674667.64364890521</v>
      </c>
      <c r="Y336" s="4">
        <v>-138142.80364890525</v>
      </c>
      <c r="AH336" s="4">
        <v>310</v>
      </c>
      <c r="AI336" s="4">
        <v>661575.46228437405</v>
      </c>
      <c r="AJ336" s="4">
        <v>-125050.62228437408</v>
      </c>
      <c r="AS336" s="9"/>
      <c r="AT336" s="9"/>
      <c r="AU336" s="9"/>
    </row>
    <row r="337" spans="1:47">
      <c r="A337" s="4">
        <v>311</v>
      </c>
      <c r="B337" s="4">
        <v>676462.13819557964</v>
      </c>
      <c r="C337" s="4">
        <v>-54784.838195579592</v>
      </c>
      <c r="L337" s="4">
        <v>311</v>
      </c>
      <c r="M337" s="4">
        <v>640285.00378268166</v>
      </c>
      <c r="N337" s="4">
        <v>-18607.703782681609</v>
      </c>
      <c r="W337" s="4">
        <v>311</v>
      </c>
      <c r="X337" s="4">
        <v>670089.53864326456</v>
      </c>
      <c r="Y337" s="4">
        <v>-48412.238643264514</v>
      </c>
      <c r="AH337" s="4">
        <v>311</v>
      </c>
      <c r="AI337" s="4">
        <v>674882.4539303676</v>
      </c>
      <c r="AJ337" s="4">
        <v>-53205.153930367553</v>
      </c>
      <c r="AS337" s="9"/>
      <c r="AT337" s="9"/>
      <c r="AU337" s="9"/>
    </row>
    <row r="338" spans="1:47">
      <c r="A338" s="4">
        <v>312</v>
      </c>
      <c r="B338" s="4">
        <v>743977.42773436964</v>
      </c>
      <c r="C338" s="4">
        <v>27151.642265630304</v>
      </c>
      <c r="L338" s="4">
        <v>312</v>
      </c>
      <c r="M338" s="4">
        <v>713246.5773262314</v>
      </c>
      <c r="N338" s="4">
        <v>57882.492673768546</v>
      </c>
      <c r="W338" s="4">
        <v>312</v>
      </c>
      <c r="X338" s="4">
        <v>678135.90501681471</v>
      </c>
      <c r="Y338" s="4">
        <v>92993.164983185241</v>
      </c>
      <c r="AH338" s="4">
        <v>312</v>
      </c>
      <c r="AI338" s="4">
        <v>682201.29933566402</v>
      </c>
      <c r="AJ338" s="4">
        <v>88927.770664335927</v>
      </c>
      <c r="AS338" s="9"/>
      <c r="AT338" s="9"/>
      <c r="AU338" s="9"/>
    </row>
    <row r="339" spans="1:47">
      <c r="A339" s="4">
        <v>313</v>
      </c>
      <c r="B339" s="4">
        <v>728944.62772239337</v>
      </c>
      <c r="C339" s="4">
        <v>-26892.1577223934</v>
      </c>
      <c r="L339" s="4">
        <v>313</v>
      </c>
      <c r="M339" s="4">
        <v>666329.96646570927</v>
      </c>
      <c r="N339" s="4">
        <v>35722.503534290707</v>
      </c>
      <c r="W339" s="4">
        <v>313</v>
      </c>
      <c r="X339" s="4">
        <v>694922.29003749671</v>
      </c>
      <c r="Y339" s="4">
        <v>7130.1799625032581</v>
      </c>
      <c r="AH339" s="4">
        <v>313</v>
      </c>
      <c r="AI339" s="4">
        <v>674438.88754216779</v>
      </c>
      <c r="AJ339" s="4">
        <v>27613.582457832177</v>
      </c>
      <c r="AS339" s="9"/>
      <c r="AT339" s="9"/>
      <c r="AU339" s="9"/>
    </row>
    <row r="340" spans="1:47">
      <c r="A340" s="4">
        <v>314</v>
      </c>
      <c r="B340" s="4">
        <v>660373.30307440483</v>
      </c>
      <c r="C340" s="4">
        <v>27995.156925595133</v>
      </c>
      <c r="L340" s="4">
        <v>314</v>
      </c>
      <c r="M340" s="4">
        <v>730871.52467611583</v>
      </c>
      <c r="N340" s="4">
        <v>-42503.064676115871</v>
      </c>
      <c r="W340" s="4">
        <v>314</v>
      </c>
      <c r="X340" s="4">
        <v>672447.95637344313</v>
      </c>
      <c r="Y340" s="4">
        <v>15920.503626556834</v>
      </c>
      <c r="AH340" s="4">
        <v>314</v>
      </c>
      <c r="AI340" s="4">
        <v>695064.72459345777</v>
      </c>
      <c r="AJ340" s="4">
        <v>-6696.2645934578031</v>
      </c>
      <c r="AS340" s="9"/>
      <c r="AT340" s="9"/>
      <c r="AU340" s="9"/>
    </row>
    <row r="341" spans="1:47">
      <c r="A341" s="4">
        <v>315</v>
      </c>
      <c r="B341" s="4">
        <v>693891.05118314689</v>
      </c>
      <c r="C341" s="4">
        <v>18484.718816853128</v>
      </c>
      <c r="L341" s="4">
        <v>315</v>
      </c>
      <c r="M341" s="4">
        <v>660478.76936979615</v>
      </c>
      <c r="N341" s="4">
        <v>51897.000630203867</v>
      </c>
      <c r="W341" s="4">
        <v>315</v>
      </c>
      <c r="X341" s="4">
        <v>685211.15820735006</v>
      </c>
      <c r="Y341" s="4">
        <v>27164.611792649957</v>
      </c>
      <c r="AH341" s="4">
        <v>315</v>
      </c>
      <c r="AI341" s="4">
        <v>702605.35319285409</v>
      </c>
      <c r="AJ341" s="4">
        <v>9770.416807145928</v>
      </c>
      <c r="AS341" s="9"/>
      <c r="AT341" s="9"/>
      <c r="AU341" s="9"/>
    </row>
    <row r="342" spans="1:47">
      <c r="A342" s="4">
        <v>316</v>
      </c>
      <c r="B342" s="4">
        <v>702300.99970083835</v>
      </c>
      <c r="C342" s="4">
        <v>142409.67029916169</v>
      </c>
      <c r="L342" s="4">
        <v>316</v>
      </c>
      <c r="M342" s="4">
        <v>802013.51863496087</v>
      </c>
      <c r="N342" s="4">
        <v>42697.151365039172</v>
      </c>
      <c r="W342" s="4">
        <v>316</v>
      </c>
      <c r="X342" s="4">
        <v>682852.74047717161</v>
      </c>
      <c r="Y342" s="4">
        <v>161857.92952282843</v>
      </c>
      <c r="AH342" s="4">
        <v>316</v>
      </c>
      <c r="AI342" s="4">
        <v>694842.94139935786</v>
      </c>
      <c r="AJ342" s="4">
        <v>149867.72860064218</v>
      </c>
      <c r="AS342" s="9"/>
      <c r="AT342" s="9"/>
      <c r="AU342" s="9"/>
    </row>
    <row r="343" spans="1:47">
      <c r="A343" s="4">
        <v>317</v>
      </c>
      <c r="B343" s="4">
        <v>723933.31106150895</v>
      </c>
      <c r="C343" s="4">
        <v>-103669.111061509</v>
      </c>
      <c r="L343" s="4">
        <v>317</v>
      </c>
      <c r="M343" s="4">
        <v>647599.00015257299</v>
      </c>
      <c r="N343" s="4">
        <v>-27334.800152573036</v>
      </c>
      <c r="W343" s="4">
        <v>317</v>
      </c>
      <c r="X343" s="4">
        <v>673696.53046589054</v>
      </c>
      <c r="Y343" s="4">
        <v>-53432.330465890584</v>
      </c>
      <c r="AH343" s="4">
        <v>317</v>
      </c>
      <c r="AI343" s="4">
        <v>690850.84390555974</v>
      </c>
      <c r="AJ343" s="4">
        <v>-70586.643905559788</v>
      </c>
      <c r="AS343" s="9"/>
      <c r="AT343" s="9"/>
      <c r="AU343" s="9"/>
    </row>
    <row r="344" spans="1:47">
      <c r="A344" s="4">
        <v>318</v>
      </c>
      <c r="B344" s="4">
        <v>612074.68371494045</v>
      </c>
      <c r="C344" s="4">
        <v>-75229.263714940404</v>
      </c>
      <c r="L344" s="4">
        <v>318</v>
      </c>
      <c r="M344" s="4">
        <v>570070.63863172522</v>
      </c>
      <c r="N344" s="4">
        <v>-33225.218631725176</v>
      </c>
      <c r="W344" s="4">
        <v>318</v>
      </c>
      <c r="X344" s="4">
        <v>697835.62958654074</v>
      </c>
      <c r="Y344" s="4">
        <v>-160990.2095865407</v>
      </c>
      <c r="AH344" s="4">
        <v>318</v>
      </c>
      <c r="AI344" s="4">
        <v>679983.46739466512</v>
      </c>
      <c r="AJ344" s="4">
        <v>-143138.04739466507</v>
      </c>
      <c r="AS344" s="9"/>
      <c r="AT344" s="9"/>
      <c r="AU344" s="9"/>
    </row>
    <row r="345" spans="1:47">
      <c r="A345" s="4">
        <v>319</v>
      </c>
      <c r="B345" s="4">
        <v>735195.05908338912</v>
      </c>
      <c r="C345" s="4">
        <v>-8418.8390833891463</v>
      </c>
      <c r="L345" s="4">
        <v>319</v>
      </c>
      <c r="M345" s="4">
        <v>723807.27452373295</v>
      </c>
      <c r="N345" s="4">
        <v>2968.9454762670211</v>
      </c>
      <c r="W345" s="4">
        <v>319</v>
      </c>
      <c r="X345" s="4">
        <v>668008.58182251884</v>
      </c>
      <c r="Y345" s="4">
        <v>58767.638177481131</v>
      </c>
      <c r="AH345" s="4">
        <v>319</v>
      </c>
      <c r="AI345" s="4">
        <v>673773.53795986809</v>
      </c>
      <c r="AJ345" s="4">
        <v>53002.682040131884</v>
      </c>
      <c r="AS345" s="9"/>
      <c r="AT345" s="9"/>
      <c r="AU345" s="9"/>
    </row>
    <row r="346" spans="1:47" ht="14.5" thickBot="1">
      <c r="A346" s="5">
        <v>320</v>
      </c>
      <c r="B346" s="5">
        <v>647138.24796247343</v>
      </c>
      <c r="C346" s="5">
        <v>-87477.407962473459</v>
      </c>
      <c r="L346" s="5">
        <v>320</v>
      </c>
      <c r="M346" s="5">
        <v>636110.67414718273</v>
      </c>
      <c r="N346" s="5">
        <v>-76449.834147182759</v>
      </c>
      <c r="W346" s="5">
        <v>320</v>
      </c>
      <c r="X346" s="5">
        <v>674945.10455833795</v>
      </c>
      <c r="Y346" s="5">
        <v>-115284.26455833798</v>
      </c>
      <c r="AH346" s="5">
        <v>320</v>
      </c>
      <c r="AI346" s="5">
        <v>671777.48921296909</v>
      </c>
      <c r="AJ346" s="5">
        <v>-112116.64921296912</v>
      </c>
      <c r="AS346" s="10"/>
      <c r="AT346" s="10"/>
      <c r="AU346" s="10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CA556-2D18-49AB-B951-C03A6A0825D2}">
  <dimension ref="A1:I352"/>
  <sheetViews>
    <sheetView topLeftCell="A2" zoomScale="80" workbookViewId="0">
      <selection activeCell="A3" sqref="A3"/>
    </sheetView>
  </sheetViews>
  <sheetFormatPr defaultRowHeight="14"/>
  <cols>
    <col min="1" max="1" width="27.08203125" customWidth="1"/>
    <col min="2" max="2" width="23.83203125" customWidth="1"/>
    <col min="3" max="5" width="12.08203125" bestFit="1" customWidth="1"/>
    <col min="6" max="6" width="11.1640625" customWidth="1"/>
    <col min="7" max="9" width="8.75" bestFit="1" customWidth="1"/>
  </cols>
  <sheetData>
    <row r="1" spans="1:6" ht="18">
      <c r="A1" s="8" t="s">
        <v>148</v>
      </c>
    </row>
    <row r="3" spans="1:6" ht="18">
      <c r="A3" s="8" t="s">
        <v>115</v>
      </c>
    </row>
    <row r="4" spans="1:6" ht="14.5" thickBot="1"/>
    <row r="5" spans="1:6" ht="14.5">
      <c r="A5" s="12" t="s">
        <v>116</v>
      </c>
      <c r="B5" s="12"/>
    </row>
    <row r="6" spans="1:6">
      <c r="A6" s="9" t="s">
        <v>117</v>
      </c>
      <c r="B6" s="9">
        <v>0.906306944052229</v>
      </c>
    </row>
    <row r="7" spans="1:6">
      <c r="A7" s="9" t="s">
        <v>118</v>
      </c>
      <c r="B7" s="9">
        <v>0.8213922768372901</v>
      </c>
    </row>
    <row r="8" spans="1:6">
      <c r="A8" s="9" t="s">
        <v>119</v>
      </c>
      <c r="B8" s="9">
        <v>0.81738505227915248</v>
      </c>
    </row>
    <row r="9" spans="1:6">
      <c r="A9" s="9" t="s">
        <v>120</v>
      </c>
      <c r="B9" s="9">
        <v>44345.223679908515</v>
      </c>
    </row>
    <row r="10" spans="1:6" ht="14.5" thickBot="1">
      <c r="A10" s="10" t="s">
        <v>121</v>
      </c>
      <c r="B10" s="10">
        <v>320</v>
      </c>
    </row>
    <row r="12" spans="1:6" ht="14.5" thickBot="1">
      <c r="A12" t="s">
        <v>122</v>
      </c>
    </row>
    <row r="13" spans="1:6" ht="14.5">
      <c r="A13" s="11"/>
      <c r="B13" s="11" t="s">
        <v>127</v>
      </c>
      <c r="C13" s="11" t="s">
        <v>128</v>
      </c>
      <c r="D13" s="11" t="s">
        <v>129</v>
      </c>
      <c r="E13" s="11" t="s">
        <v>130</v>
      </c>
      <c r="F13" s="11" t="s">
        <v>131</v>
      </c>
    </row>
    <row r="14" spans="1:6">
      <c r="A14" s="9" t="s">
        <v>123</v>
      </c>
      <c r="B14" s="9">
        <v>7</v>
      </c>
      <c r="C14" s="9">
        <v>2821620971465.75</v>
      </c>
      <c r="D14" s="9">
        <v>403088710209.39288</v>
      </c>
      <c r="E14" s="9">
        <v>204.97785060965401</v>
      </c>
      <c r="F14" s="9">
        <v>1.1419707806986383E-112</v>
      </c>
    </row>
    <row r="15" spans="1:6">
      <c r="A15" s="9" t="s">
        <v>124</v>
      </c>
      <c r="B15" s="9">
        <v>312</v>
      </c>
      <c r="C15" s="9">
        <v>613547645324.98901</v>
      </c>
      <c r="D15" s="9">
        <v>1966498863.2211187</v>
      </c>
      <c r="E15" s="9"/>
      <c r="F15" s="9"/>
    </row>
    <row r="16" spans="1:6" ht="14.5" thickBot="1">
      <c r="A16" s="10" t="s">
        <v>125</v>
      </c>
      <c r="B16" s="10">
        <v>319</v>
      </c>
      <c r="C16" s="10">
        <v>3435168616790.7393</v>
      </c>
      <c r="D16" s="10"/>
      <c r="E16" s="10"/>
      <c r="F16" s="10"/>
    </row>
    <row r="17" spans="1:9" ht="14.5" thickBot="1"/>
    <row r="18" spans="1:9" ht="14.5">
      <c r="A18" s="11"/>
      <c r="B18" s="11" t="s">
        <v>132</v>
      </c>
      <c r="C18" s="11" t="s">
        <v>120</v>
      </c>
      <c r="D18" s="11" t="s">
        <v>133</v>
      </c>
      <c r="E18" s="11" t="s">
        <v>134</v>
      </c>
      <c r="F18" s="11" t="s">
        <v>135</v>
      </c>
      <c r="G18" s="11" t="s">
        <v>136</v>
      </c>
      <c r="H18" s="11" t="s">
        <v>137</v>
      </c>
      <c r="I18" s="11" t="s">
        <v>138</v>
      </c>
    </row>
    <row r="19" spans="1:9">
      <c r="A19" s="9" t="s">
        <v>126</v>
      </c>
      <c r="B19" s="9">
        <v>148347.11064289347</v>
      </c>
      <c r="C19" s="9">
        <v>43300.193653817929</v>
      </c>
      <c r="D19" s="9">
        <v>3.4260149464669469</v>
      </c>
      <c r="E19" s="9">
        <v>6.9454641434837168E-4</v>
      </c>
      <c r="F19" s="9">
        <v>63149.801273429315</v>
      </c>
      <c r="G19" s="9">
        <v>233544.42001235764</v>
      </c>
      <c r="H19" s="9">
        <v>63149.801273429315</v>
      </c>
      <c r="I19" s="9">
        <v>233544.42001235764</v>
      </c>
    </row>
    <row r="20" spans="1:9">
      <c r="A20" s="9" t="s">
        <v>112</v>
      </c>
      <c r="B20" s="9">
        <v>-11433.463736292362</v>
      </c>
      <c r="C20" s="9">
        <v>6578.0771839923</v>
      </c>
      <c r="D20" s="9">
        <v>-1.7381163851521244</v>
      </c>
      <c r="E20" s="9">
        <v>8.3176903281659817E-2</v>
      </c>
      <c r="F20" s="9">
        <v>-24376.465363061994</v>
      </c>
      <c r="G20" s="9">
        <v>1509.5378904772715</v>
      </c>
      <c r="H20" s="9">
        <v>-24376.465363061994</v>
      </c>
      <c r="I20" s="9">
        <v>1509.5378904772715</v>
      </c>
    </row>
    <row r="21" spans="1:9">
      <c r="A21" s="9" t="s">
        <v>113</v>
      </c>
      <c r="B21" s="9">
        <v>-28009.31145258687</v>
      </c>
      <c r="C21" s="9">
        <v>6761.7333007066609</v>
      </c>
      <c r="D21" s="9">
        <v>-4.1423271529593819</v>
      </c>
      <c r="E21" s="9">
        <v>4.4314463089905896E-5</v>
      </c>
      <c r="F21" s="9">
        <v>-41313.674211327518</v>
      </c>
      <c r="G21" s="9">
        <v>-14704.948693846221</v>
      </c>
      <c r="H21" s="9">
        <v>-41313.674211327518</v>
      </c>
      <c r="I21" s="9">
        <v>-14704.948693846221</v>
      </c>
    </row>
    <row r="22" spans="1:9">
      <c r="A22" s="9" t="s">
        <v>114</v>
      </c>
      <c r="B22" s="9">
        <v>10472.250815728046</v>
      </c>
      <c r="C22" s="9">
        <v>9821.179236346421</v>
      </c>
      <c r="D22" s="9">
        <v>1.06629260740626</v>
      </c>
      <c r="E22" s="9">
        <v>0.28711580991494645</v>
      </c>
      <c r="F22" s="9">
        <v>-8851.8670499246327</v>
      </c>
      <c r="G22" s="9">
        <v>29796.368681380725</v>
      </c>
      <c r="H22" s="9">
        <v>-8851.8670499246327</v>
      </c>
      <c r="I22" s="9">
        <v>29796.368681380725</v>
      </c>
    </row>
    <row r="23" spans="1:9">
      <c r="A23" s="9" t="s">
        <v>4</v>
      </c>
      <c r="B23" s="9">
        <v>1.1654929349595915</v>
      </c>
      <c r="C23" s="9">
        <v>0.12848737134901009</v>
      </c>
      <c r="D23" s="9">
        <v>9.0708753920551803</v>
      </c>
      <c r="E23" s="9">
        <v>1.3555461407360429E-17</v>
      </c>
      <c r="F23" s="9">
        <v>0.91268163313471795</v>
      </c>
      <c r="G23" s="9">
        <v>1.4183042367844649</v>
      </c>
      <c r="H23" s="9">
        <v>0.91268163313471795</v>
      </c>
      <c r="I23" s="9">
        <v>1.4183042367844649</v>
      </c>
    </row>
    <row r="24" spans="1:9">
      <c r="A24" s="9" t="s">
        <v>5</v>
      </c>
      <c r="B24" s="9">
        <v>33.664404985428142</v>
      </c>
      <c r="C24" s="9">
        <v>1.0308343183650694</v>
      </c>
      <c r="D24" s="9">
        <v>32.657435230542944</v>
      </c>
      <c r="E24" s="9">
        <v>1.1222697068612453E-102</v>
      </c>
      <c r="F24" s="9">
        <v>31.636138991225927</v>
      </c>
      <c r="G24" s="9">
        <v>35.692670979630357</v>
      </c>
      <c r="H24" s="9">
        <v>31.636138991225927</v>
      </c>
      <c r="I24" s="9">
        <v>35.692670979630357</v>
      </c>
    </row>
    <row r="25" spans="1:9">
      <c r="A25" s="9" t="s">
        <v>6</v>
      </c>
      <c r="B25" s="9">
        <v>-58920.806936630492</v>
      </c>
      <c r="C25" s="9">
        <v>36743.02084496952</v>
      </c>
      <c r="D25" s="9">
        <v>-1.6035918000655445</v>
      </c>
      <c r="E25" s="9">
        <v>0.10981585524775014</v>
      </c>
      <c r="F25" s="9">
        <v>-131216.24605463821</v>
      </c>
      <c r="G25" s="9">
        <v>13374.63218137723</v>
      </c>
      <c r="H25" s="9">
        <v>-131216.24605463821</v>
      </c>
      <c r="I25" s="9">
        <v>13374.63218137723</v>
      </c>
    </row>
    <row r="26" spans="1:9" ht="14.5" thickBot="1">
      <c r="A26" s="10" t="s">
        <v>8</v>
      </c>
      <c r="B26" s="10">
        <v>3001.1957052632724</v>
      </c>
      <c r="C26" s="10">
        <v>466.59755434101203</v>
      </c>
      <c r="D26" s="10">
        <v>6.4320862322176975</v>
      </c>
      <c r="E26" s="10">
        <v>4.7245684655693491E-10</v>
      </c>
      <c r="F26" s="10">
        <v>2083.1199916521991</v>
      </c>
      <c r="G26" s="10">
        <v>3919.2714188743457</v>
      </c>
      <c r="H26" s="10">
        <v>2083.1199916521991</v>
      </c>
      <c r="I26" s="10">
        <v>3919.2714188743457</v>
      </c>
    </row>
    <row r="30" spans="1:9">
      <c r="A30" t="s">
        <v>139</v>
      </c>
    </row>
    <row r="31" spans="1:9" ht="14.5" thickBot="1"/>
    <row r="32" spans="1:9" ht="14.5">
      <c r="A32" s="11" t="s">
        <v>140</v>
      </c>
      <c r="B32" s="11" t="s">
        <v>144</v>
      </c>
      <c r="C32" s="11" t="s">
        <v>142</v>
      </c>
    </row>
    <row r="33" spans="1:3">
      <c r="A33" s="9">
        <v>1</v>
      </c>
      <c r="B33" s="9">
        <v>704472.70378583157</v>
      </c>
      <c r="C33" s="9">
        <v>-45640.083785831579</v>
      </c>
    </row>
    <row r="34" spans="1:3">
      <c r="A34" s="9">
        <v>2</v>
      </c>
      <c r="B34" s="9">
        <v>700530.92240968777</v>
      </c>
      <c r="C34" s="9">
        <v>-66094.922409687773</v>
      </c>
    </row>
    <row r="35" spans="1:3">
      <c r="A35" s="9">
        <v>3</v>
      </c>
      <c r="B35" s="9">
        <v>753228.65283852431</v>
      </c>
      <c r="C35" s="9">
        <v>-74506.592838524259</v>
      </c>
    </row>
    <row r="36" spans="1:3">
      <c r="A36" s="9">
        <v>4</v>
      </c>
      <c r="B36" s="9">
        <v>756529.95538086782</v>
      </c>
      <c r="C36" s="9">
        <v>-97609.655380867771</v>
      </c>
    </row>
    <row r="37" spans="1:3">
      <c r="A37" s="9">
        <v>5</v>
      </c>
      <c r="B37" s="9">
        <v>793970.97680658859</v>
      </c>
      <c r="C37" s="9">
        <v>-52629.536806588643</v>
      </c>
    </row>
    <row r="38" spans="1:3">
      <c r="A38" s="9">
        <v>6</v>
      </c>
      <c r="B38" s="9">
        <v>788194.05589136085</v>
      </c>
      <c r="C38" s="9">
        <v>-26358.715891360887</v>
      </c>
    </row>
    <row r="39" spans="1:3">
      <c r="A39" s="9">
        <v>7</v>
      </c>
      <c r="B39" s="9">
        <v>796669.95534917642</v>
      </c>
      <c r="C39" s="9">
        <v>9945.5846508236136</v>
      </c>
    </row>
    <row r="40" spans="1:3">
      <c r="A40" s="9">
        <v>8</v>
      </c>
      <c r="B40" s="9">
        <v>784174.58994693321</v>
      </c>
      <c r="C40" s="9">
        <v>65989.670053066802</v>
      </c>
    </row>
    <row r="41" spans="1:3">
      <c r="A41" s="9">
        <v>9</v>
      </c>
      <c r="B41" s="9">
        <v>865386.51357413852</v>
      </c>
      <c r="C41" s="9">
        <v>65195.186425861437</v>
      </c>
    </row>
    <row r="42" spans="1:3">
      <c r="A42" s="9">
        <v>10</v>
      </c>
      <c r="B42" s="9">
        <v>798799.06859159912</v>
      </c>
      <c r="C42" s="9">
        <v>-19788.128591599176</v>
      </c>
    </row>
    <row r="43" spans="1:3">
      <c r="A43" s="9">
        <v>11</v>
      </c>
      <c r="B43" s="9">
        <v>760003.90291081904</v>
      </c>
      <c r="C43" s="9">
        <v>-36943.142910819035</v>
      </c>
    </row>
    <row r="44" spans="1:3">
      <c r="A44" s="9">
        <v>12</v>
      </c>
      <c r="B44" s="9">
        <v>871984.85134946438</v>
      </c>
      <c r="C44" s="9">
        <v>38807.088650535559</v>
      </c>
    </row>
    <row r="45" spans="1:3">
      <c r="A45" s="9">
        <v>13</v>
      </c>
      <c r="B45" s="9">
        <v>872478.77795495186</v>
      </c>
      <c r="C45" s="9">
        <v>49689.822045048117</v>
      </c>
    </row>
    <row r="46" spans="1:3">
      <c r="A46" s="9">
        <v>14</v>
      </c>
      <c r="B46" s="9">
        <v>769936.36454632017</v>
      </c>
      <c r="C46" s="9">
        <v>-43330.08454632014</v>
      </c>
    </row>
    <row r="47" spans="1:3">
      <c r="A47" s="9">
        <v>15</v>
      </c>
      <c r="B47" s="9">
        <v>742679.02682340774</v>
      </c>
      <c r="C47" s="9">
        <v>3822.0631765922299</v>
      </c>
    </row>
    <row r="48" spans="1:3">
      <c r="A48" s="9">
        <v>16</v>
      </c>
      <c r="B48" s="9">
        <v>805632.60930902697</v>
      </c>
      <c r="C48" s="9">
        <v>28384.410690973047</v>
      </c>
    </row>
    <row r="49" spans="1:3">
      <c r="A49" s="9">
        <v>17</v>
      </c>
      <c r="B49" s="9">
        <v>677698.73809559247</v>
      </c>
      <c r="C49" s="9">
        <v>-11546.218095592456</v>
      </c>
    </row>
    <row r="50" spans="1:3">
      <c r="A50" s="9">
        <v>18</v>
      </c>
      <c r="B50" s="9">
        <v>588643.82017843798</v>
      </c>
      <c r="C50" s="9">
        <v>-15488.630178438034</v>
      </c>
    </row>
    <row r="51" spans="1:3">
      <c r="A51" s="9">
        <v>19</v>
      </c>
      <c r="B51" s="9">
        <v>681060.90327983326</v>
      </c>
      <c r="C51" s="9">
        <v>-14487.703279833309</v>
      </c>
    </row>
    <row r="52" spans="1:3">
      <c r="A52" s="9">
        <v>20</v>
      </c>
      <c r="B52" s="9">
        <v>588111.49934926373</v>
      </c>
      <c r="C52" s="9">
        <v>3508.4506507362239</v>
      </c>
    </row>
    <row r="53" spans="1:3">
      <c r="A53" s="9">
        <v>21</v>
      </c>
      <c r="B53" s="9">
        <v>491609.46933480375</v>
      </c>
      <c r="C53" s="9">
        <v>-75887.649334803747</v>
      </c>
    </row>
    <row r="54" spans="1:3">
      <c r="A54" s="9">
        <v>22</v>
      </c>
      <c r="B54" s="9">
        <v>486041.77788711071</v>
      </c>
      <c r="C54" s="9">
        <v>5863.3521128892899</v>
      </c>
    </row>
    <row r="55" spans="1:3">
      <c r="A55" s="9">
        <v>23</v>
      </c>
      <c r="B55" s="9">
        <v>519517.89739733736</v>
      </c>
      <c r="C55" s="9">
        <v>36411.502602662658</v>
      </c>
    </row>
    <row r="56" spans="1:3">
      <c r="A56" s="9">
        <v>24</v>
      </c>
      <c r="B56" s="9">
        <v>544317.11227921979</v>
      </c>
      <c r="C56" s="9">
        <v>21493.877720780205</v>
      </c>
    </row>
    <row r="57" spans="1:3">
      <c r="A57" s="9">
        <v>25</v>
      </c>
      <c r="B57" s="9">
        <v>836959.02056917781</v>
      </c>
      <c r="C57" s="9">
        <v>-25187.880569177796</v>
      </c>
    </row>
    <row r="58" spans="1:3">
      <c r="A58" s="9">
        <v>26</v>
      </c>
      <c r="B58" s="9">
        <v>900272.4812077604</v>
      </c>
      <c r="C58" s="9">
        <v>-99820.541207760456</v>
      </c>
    </row>
    <row r="59" spans="1:3">
      <c r="A59" s="9">
        <v>27</v>
      </c>
      <c r="B59" s="9">
        <v>792200.71259510377</v>
      </c>
      <c r="C59" s="9">
        <v>-8527.8925951038254</v>
      </c>
    </row>
    <row r="60" spans="1:3">
      <c r="A60" s="9">
        <v>28</v>
      </c>
      <c r="B60" s="9">
        <v>698456.52440522797</v>
      </c>
      <c r="C60" s="9">
        <v>3185.445594771998</v>
      </c>
    </row>
    <row r="61" spans="1:3">
      <c r="A61" s="9">
        <v>29</v>
      </c>
      <c r="B61" s="9">
        <v>582340.43910327763</v>
      </c>
      <c r="C61" s="9">
        <v>-70496.029103277659</v>
      </c>
    </row>
    <row r="62" spans="1:3">
      <c r="A62" s="9">
        <v>30</v>
      </c>
      <c r="B62" s="9">
        <v>524305.48948655371</v>
      </c>
      <c r="C62" s="9">
        <v>13078.300513446331</v>
      </c>
    </row>
    <row r="63" spans="1:3">
      <c r="A63" s="9">
        <v>31</v>
      </c>
      <c r="B63" s="9">
        <v>510826.36847154808</v>
      </c>
      <c r="C63" s="9">
        <v>-10653.348471548059</v>
      </c>
    </row>
    <row r="64" spans="1:3">
      <c r="A64" s="9">
        <v>32</v>
      </c>
      <c r="B64" s="9">
        <v>494305.19743863761</v>
      </c>
      <c r="C64" s="9">
        <v>-66387.817438637605</v>
      </c>
    </row>
    <row r="65" spans="1:3">
      <c r="A65" s="9">
        <v>33</v>
      </c>
      <c r="B65" s="9">
        <v>740315.34947137744</v>
      </c>
      <c r="C65" s="9">
        <v>-98450.319471377414</v>
      </c>
    </row>
    <row r="66" spans="1:3">
      <c r="A66" s="9">
        <v>34</v>
      </c>
      <c r="B66" s="9">
        <v>850100.47514859866</v>
      </c>
      <c r="C66" s="9">
        <v>-50622.715148598654</v>
      </c>
    </row>
    <row r="67" spans="1:3">
      <c r="A67" s="9">
        <v>35</v>
      </c>
      <c r="B67" s="9">
        <v>799273.82628476666</v>
      </c>
      <c r="C67" s="9">
        <v>-321.65628476662096</v>
      </c>
    </row>
    <row r="68" spans="1:3">
      <c r="A68" s="9">
        <v>36</v>
      </c>
      <c r="B68" s="9">
        <v>815966.22314574732</v>
      </c>
      <c r="C68" s="9">
        <v>-14986.443145747297</v>
      </c>
    </row>
    <row r="69" spans="1:3">
      <c r="A69" s="9">
        <v>37</v>
      </c>
      <c r="B69" s="9">
        <v>777578.27247364225</v>
      </c>
      <c r="C69" s="9">
        <v>43015.657526357798</v>
      </c>
    </row>
    <row r="70" spans="1:3">
      <c r="A70" s="9">
        <v>38</v>
      </c>
      <c r="B70" s="9">
        <v>763914.5254945925</v>
      </c>
      <c r="C70" s="9">
        <v>-45583.995494592469</v>
      </c>
    </row>
    <row r="71" spans="1:3">
      <c r="A71" s="9">
        <v>39</v>
      </c>
      <c r="B71" s="9">
        <v>748885.3441231983</v>
      </c>
      <c r="C71" s="9">
        <v>-12251.944123198278</v>
      </c>
    </row>
    <row r="72" spans="1:3">
      <c r="A72" s="9">
        <v>40</v>
      </c>
      <c r="B72" s="9">
        <v>837238.58706204942</v>
      </c>
      <c r="C72" s="9">
        <v>-8614.7370620494476</v>
      </c>
    </row>
    <row r="73" spans="1:3">
      <c r="A73" s="9">
        <v>41</v>
      </c>
      <c r="B73" s="9">
        <v>591587.1988161325</v>
      </c>
      <c r="C73" s="9">
        <v>608.65118386747781</v>
      </c>
    </row>
    <row r="74" spans="1:3">
      <c r="A74" s="9">
        <v>42</v>
      </c>
      <c r="B74" s="9">
        <v>528603.68258870672</v>
      </c>
      <c r="C74" s="9">
        <v>4040.7774112932384</v>
      </c>
    </row>
    <row r="75" spans="1:3">
      <c r="A75" s="9">
        <v>43</v>
      </c>
      <c r="B75" s="9">
        <v>597967.00120969303</v>
      </c>
      <c r="C75" s="9">
        <v>59462.178790307022</v>
      </c>
    </row>
    <row r="76" spans="1:3">
      <c r="A76" s="9">
        <v>44</v>
      </c>
      <c r="B76" s="9">
        <v>608958.03696520114</v>
      </c>
      <c r="C76" s="9">
        <v>-3780.0369652011432</v>
      </c>
    </row>
    <row r="77" spans="1:3">
      <c r="A77" s="9">
        <v>45</v>
      </c>
      <c r="B77" s="9">
        <v>716546.49151356809</v>
      </c>
      <c r="C77" s="9">
        <v>-121078.89151356812</v>
      </c>
    </row>
    <row r="78" spans="1:3">
      <c r="A78" s="9">
        <v>46</v>
      </c>
      <c r="B78" s="9">
        <v>626713.1125391617</v>
      </c>
      <c r="C78" s="9">
        <v>-27109.712539161672</v>
      </c>
    </row>
    <row r="79" spans="1:3">
      <c r="A79" s="9">
        <v>47</v>
      </c>
      <c r="B79" s="9">
        <v>572873.35469405807</v>
      </c>
      <c r="C79" s="9">
        <v>41926.735305941897</v>
      </c>
    </row>
    <row r="80" spans="1:3">
      <c r="A80" s="9">
        <v>48</v>
      </c>
      <c r="B80" s="9">
        <v>561519.15521425055</v>
      </c>
      <c r="C80" s="9">
        <v>23846.574785749428</v>
      </c>
    </row>
    <row r="81" spans="1:3">
      <c r="A81" s="9">
        <v>49</v>
      </c>
      <c r="B81" s="9">
        <v>660104.20872874511</v>
      </c>
      <c r="C81" s="9">
        <v>-37292.468728745123</v>
      </c>
    </row>
    <row r="82" spans="1:3">
      <c r="A82" s="9">
        <v>50</v>
      </c>
      <c r="B82" s="9">
        <v>593664.68890818791</v>
      </c>
      <c r="C82" s="9">
        <v>9632.8810918120435</v>
      </c>
    </row>
    <row r="83" spans="1:3">
      <c r="A83" s="9">
        <v>51</v>
      </c>
      <c r="B83" s="9">
        <v>618822.71258491103</v>
      </c>
      <c r="C83" s="9">
        <v>6850.1474150889553</v>
      </c>
    </row>
    <row r="84" spans="1:3">
      <c r="A84" s="9">
        <v>52</v>
      </c>
      <c r="B84" s="9">
        <v>744747.76097909245</v>
      </c>
      <c r="C84" s="9">
        <v>29067.379020907567</v>
      </c>
    </row>
    <row r="85" spans="1:3">
      <c r="A85" s="9">
        <v>53</v>
      </c>
      <c r="B85" s="9">
        <v>556963.06267765979</v>
      </c>
      <c r="C85" s="9">
        <v>-93428.812677659793</v>
      </c>
    </row>
    <row r="86" spans="1:3">
      <c r="A86" s="9">
        <v>54</v>
      </c>
      <c r="B86" s="9">
        <v>702267.25973635528</v>
      </c>
      <c r="C86" s="9">
        <v>44410.490263644722</v>
      </c>
    </row>
    <row r="87" spans="1:3">
      <c r="A87" s="9">
        <v>55</v>
      </c>
      <c r="B87" s="9">
        <v>675098.90293461946</v>
      </c>
      <c r="C87" s="9">
        <v>45753.597065380542</v>
      </c>
    </row>
    <row r="88" spans="1:3">
      <c r="A88" s="9">
        <v>56</v>
      </c>
      <c r="B88" s="9">
        <v>528998.67713607894</v>
      </c>
      <c r="C88" s="9">
        <v>-41533.767136078968</v>
      </c>
    </row>
    <row r="89" spans="1:3">
      <c r="A89" s="9">
        <v>57</v>
      </c>
      <c r="B89" s="9">
        <v>545956.50998799643</v>
      </c>
      <c r="C89" s="9">
        <v>-27907.249987996416</v>
      </c>
    </row>
    <row r="90" spans="1:3">
      <c r="A90" s="9">
        <v>58</v>
      </c>
      <c r="B90" s="9">
        <v>538515.20246292371</v>
      </c>
      <c r="C90" s="9">
        <v>-38216.722462923732</v>
      </c>
    </row>
    <row r="91" spans="1:3">
      <c r="A91" s="9">
        <v>59</v>
      </c>
      <c r="B91" s="9">
        <v>686138.91802077997</v>
      </c>
      <c r="C91" s="9">
        <v>-68847.768020779942</v>
      </c>
    </row>
    <row r="92" spans="1:3">
      <c r="A92" s="9">
        <v>60</v>
      </c>
      <c r="B92" s="9">
        <v>628369.00907912885</v>
      </c>
      <c r="C92" s="9">
        <v>-74612.579079128802</v>
      </c>
    </row>
    <row r="93" spans="1:3">
      <c r="A93" s="9">
        <v>61</v>
      </c>
      <c r="B93" s="9">
        <v>686102.92061447492</v>
      </c>
      <c r="C93" s="9">
        <v>63456.789385525044</v>
      </c>
    </row>
    <row r="94" spans="1:3">
      <c r="A94" s="9">
        <v>62</v>
      </c>
      <c r="B94" s="9">
        <v>567845.72629369574</v>
      </c>
      <c r="C94" s="9">
        <v>48120.75370630424</v>
      </c>
    </row>
    <row r="95" spans="1:3">
      <c r="A95" s="9">
        <v>63</v>
      </c>
      <c r="B95" s="9">
        <v>584575.92421691376</v>
      </c>
      <c r="C95" s="9">
        <v>-12564.724216913804</v>
      </c>
    </row>
    <row r="96" spans="1:3">
      <c r="A96" s="9">
        <v>64</v>
      </c>
      <c r="B96" s="9">
        <v>717358.11831368215</v>
      </c>
      <c r="C96" s="9">
        <v>44502.071686317795</v>
      </c>
    </row>
    <row r="97" spans="1:3">
      <c r="A97" s="9">
        <v>65</v>
      </c>
      <c r="B97" s="9">
        <v>806525.23434360162</v>
      </c>
      <c r="C97" s="9">
        <v>-22022.554343601572</v>
      </c>
    </row>
    <row r="98" spans="1:3">
      <c r="A98" s="9">
        <v>66</v>
      </c>
      <c r="B98" s="9">
        <v>734642.37273728778</v>
      </c>
      <c r="C98" s="9">
        <v>-17500.82273728773</v>
      </c>
    </row>
    <row r="99" spans="1:3">
      <c r="A99" s="9">
        <v>67</v>
      </c>
      <c r="B99" s="9">
        <v>844620.30958642811</v>
      </c>
      <c r="C99" s="9">
        <v>-159241.22958642815</v>
      </c>
    </row>
    <row r="100" spans="1:3">
      <c r="A100" s="9">
        <v>68</v>
      </c>
      <c r="B100" s="9">
        <v>733899.57194947498</v>
      </c>
      <c r="C100" s="9">
        <v>6597.0780505250441</v>
      </c>
    </row>
    <row r="101" spans="1:3">
      <c r="A101" s="9">
        <v>69</v>
      </c>
      <c r="B101" s="9">
        <v>599112.49929458834</v>
      </c>
      <c r="C101" s="9">
        <v>62814.640705411672</v>
      </c>
    </row>
    <row r="102" spans="1:3">
      <c r="A102" s="9">
        <v>70</v>
      </c>
      <c r="B102" s="9">
        <v>509468.32108743186</v>
      </c>
      <c r="C102" s="9">
        <v>-30417.821087431861</v>
      </c>
    </row>
    <row r="103" spans="1:3">
      <c r="A103" s="9">
        <v>71</v>
      </c>
      <c r="B103" s="9">
        <v>600511.09614726505</v>
      </c>
      <c r="C103" s="9">
        <v>4512.7738527349429</v>
      </c>
    </row>
    <row r="104" spans="1:3">
      <c r="A104" s="9">
        <v>72</v>
      </c>
      <c r="B104" s="9">
        <v>647743.68409450259</v>
      </c>
      <c r="C104" s="9">
        <v>27030.405905497377</v>
      </c>
    </row>
    <row r="105" spans="1:3">
      <c r="A105" s="9">
        <v>73</v>
      </c>
      <c r="B105" s="9">
        <v>593584.38116218767</v>
      </c>
      <c r="C105" s="9">
        <v>22485.028837812366</v>
      </c>
    </row>
    <row r="106" spans="1:3">
      <c r="A106" s="9">
        <v>74</v>
      </c>
      <c r="B106" s="9">
        <v>692647.34947879752</v>
      </c>
      <c r="C106" s="9">
        <v>-61817.409478797577</v>
      </c>
    </row>
    <row r="107" spans="1:3">
      <c r="A107" s="9">
        <v>75</v>
      </c>
      <c r="B107" s="9">
        <v>700134.40156071587</v>
      </c>
      <c r="C107" s="9">
        <v>87953.278439284186</v>
      </c>
    </row>
    <row r="108" spans="1:3">
      <c r="A108" s="9">
        <v>76</v>
      </c>
      <c r="B108" s="9">
        <v>710349.69810684456</v>
      </c>
      <c r="C108" s="9">
        <v>-29509.338106844574</v>
      </c>
    </row>
    <row r="109" spans="1:3">
      <c r="A109" s="9">
        <v>77</v>
      </c>
      <c r="B109" s="9">
        <v>654888.57729699777</v>
      </c>
      <c r="C109" s="9">
        <v>-11231.107296997798</v>
      </c>
    </row>
    <row r="110" spans="1:3">
      <c r="A110" s="9">
        <v>78</v>
      </c>
      <c r="B110" s="9">
        <v>654105.8950465722</v>
      </c>
      <c r="C110" s="9">
        <v>37006.704953427776</v>
      </c>
    </row>
    <row r="111" spans="1:3">
      <c r="A111" s="9">
        <v>79</v>
      </c>
      <c r="B111" s="9">
        <v>722747.60061962414</v>
      </c>
      <c r="C111" s="9">
        <v>54174.569380375906</v>
      </c>
    </row>
    <row r="112" spans="1:3">
      <c r="A112" s="9">
        <v>80</v>
      </c>
      <c r="B112" s="9">
        <v>658082.30215697666</v>
      </c>
      <c r="C112" s="9">
        <v>-21520.96215697669</v>
      </c>
    </row>
    <row r="113" spans="1:3">
      <c r="A113" s="9">
        <v>81</v>
      </c>
      <c r="B113" s="9">
        <v>642681.42387219565</v>
      </c>
      <c r="C113" s="9">
        <v>-21311.843872195692</v>
      </c>
    </row>
    <row r="114" spans="1:3">
      <c r="A114" s="9">
        <v>82</v>
      </c>
      <c r="B114" s="9">
        <v>632158.98431368882</v>
      </c>
      <c r="C114" s="9">
        <v>50049.025686311186</v>
      </c>
    </row>
    <row r="115" spans="1:3">
      <c r="A115" s="9">
        <v>83</v>
      </c>
      <c r="B115" s="9">
        <v>645907.03536253271</v>
      </c>
      <c r="C115" s="9">
        <v>81334.824637467274</v>
      </c>
    </row>
    <row r="116" spans="1:3">
      <c r="A116" s="9">
        <v>84</v>
      </c>
      <c r="B116" s="9">
        <v>559803.24704057781</v>
      </c>
      <c r="C116" s="9">
        <v>9297.532959422213</v>
      </c>
    </row>
    <row r="117" spans="1:3">
      <c r="A117" s="9">
        <v>85</v>
      </c>
      <c r="B117" s="9">
        <v>555463.43968265154</v>
      </c>
      <c r="C117" s="9">
        <v>18972.850317348493</v>
      </c>
    </row>
    <row r="118" spans="1:3">
      <c r="A118" s="9">
        <v>86</v>
      </c>
      <c r="B118" s="9">
        <v>638458.7126291953</v>
      </c>
      <c r="C118" s="9">
        <v>-26691.992629195331</v>
      </c>
    </row>
    <row r="119" spans="1:3">
      <c r="A119" s="9">
        <v>87</v>
      </c>
      <c r="B119" s="9">
        <v>617742.64369133592</v>
      </c>
      <c r="C119" s="9">
        <v>-3146.3236913359724</v>
      </c>
    </row>
    <row r="120" spans="1:3">
      <c r="A120" s="9">
        <v>88</v>
      </c>
      <c r="B120" s="9">
        <v>452230.66586740746</v>
      </c>
      <c r="C120" s="9">
        <v>-1518.7458674074733</v>
      </c>
    </row>
    <row r="121" spans="1:3">
      <c r="A121" s="9">
        <v>89</v>
      </c>
      <c r="B121" s="9">
        <v>679670.18987494218</v>
      </c>
      <c r="C121" s="9">
        <v>31543.270125057781</v>
      </c>
    </row>
    <row r="122" spans="1:3">
      <c r="A122" s="9">
        <v>90</v>
      </c>
      <c r="B122" s="9">
        <v>755437.16143906571</v>
      </c>
      <c r="C122" s="9">
        <v>-128265.26143906568</v>
      </c>
    </row>
    <row r="123" spans="1:3">
      <c r="A123" s="9">
        <v>91</v>
      </c>
      <c r="B123" s="9">
        <v>718788.34045213985</v>
      </c>
      <c r="C123" s="9">
        <v>21064.23954786011</v>
      </c>
    </row>
    <row r="124" spans="1:3">
      <c r="A124" s="9">
        <v>92</v>
      </c>
      <c r="B124" s="9">
        <v>560978.88745416794</v>
      </c>
      <c r="C124" s="9">
        <v>25328.332545832032</v>
      </c>
    </row>
    <row r="125" spans="1:3">
      <c r="A125" s="9">
        <v>93</v>
      </c>
      <c r="B125" s="9">
        <v>579524.17881784693</v>
      </c>
      <c r="C125" s="9">
        <v>6413.3011821530527</v>
      </c>
    </row>
    <row r="126" spans="1:3">
      <c r="A126" s="9">
        <v>94</v>
      </c>
      <c r="B126" s="9">
        <v>689790.86757797655</v>
      </c>
      <c r="C126" s="9">
        <v>63682.682422023499</v>
      </c>
    </row>
    <row r="127" spans="1:3">
      <c r="A127" s="9">
        <v>95</v>
      </c>
      <c r="B127" s="9">
        <v>759075.14647425734</v>
      </c>
      <c r="C127" s="9">
        <v>79175.173525742604</v>
      </c>
    </row>
    <row r="128" spans="1:3">
      <c r="A128" s="9">
        <v>96</v>
      </c>
      <c r="B128" s="9">
        <v>613408.04355132056</v>
      </c>
      <c r="C128" s="9">
        <v>-5509.923551320564</v>
      </c>
    </row>
    <row r="129" spans="1:3">
      <c r="A129" s="9">
        <v>97</v>
      </c>
      <c r="B129" s="9">
        <v>698351.02945246315</v>
      </c>
      <c r="C129" s="9">
        <v>-7237.409452463151</v>
      </c>
    </row>
    <row r="130" spans="1:3">
      <c r="A130" s="9">
        <v>98</v>
      </c>
      <c r="B130" s="9">
        <v>661032.68188479729</v>
      </c>
      <c r="C130" s="9">
        <v>74476.718115202733</v>
      </c>
    </row>
    <row r="131" spans="1:3">
      <c r="A131" s="9">
        <v>99</v>
      </c>
      <c r="B131" s="9">
        <v>616928.0957860013</v>
      </c>
      <c r="C131" s="9">
        <v>-11152.765786001342</v>
      </c>
    </row>
    <row r="132" spans="1:3">
      <c r="A132" s="9">
        <v>100</v>
      </c>
      <c r="B132" s="9">
        <v>652321.55279737606</v>
      </c>
      <c r="C132" s="9">
        <v>22856.127202623989</v>
      </c>
    </row>
    <row r="133" spans="1:3">
      <c r="A133" s="9">
        <v>101</v>
      </c>
      <c r="B133" s="9">
        <v>598293.95275441685</v>
      </c>
      <c r="C133" s="9">
        <v>36887.397245583124</v>
      </c>
    </row>
    <row r="134" spans="1:3">
      <c r="A134" s="9">
        <v>102</v>
      </c>
      <c r="B134" s="9">
        <v>630220.80312965042</v>
      </c>
      <c r="C134" s="9">
        <v>-43593.863129650475</v>
      </c>
    </row>
    <row r="135" spans="1:3">
      <c r="A135" s="9">
        <v>103</v>
      </c>
      <c r="B135" s="9">
        <v>714030.96224382916</v>
      </c>
      <c r="C135" s="9">
        <v>26071.677756170859</v>
      </c>
    </row>
    <row r="136" spans="1:3">
      <c r="A136" s="9">
        <v>104</v>
      </c>
      <c r="B136" s="9">
        <v>538915.98513241846</v>
      </c>
      <c r="C136" s="9">
        <v>86598.054867581581</v>
      </c>
    </row>
    <row r="137" spans="1:3">
      <c r="A137" s="9">
        <v>105</v>
      </c>
      <c r="B137" s="9">
        <v>693588.79958227265</v>
      </c>
      <c r="C137" s="9">
        <v>33638.400417727302</v>
      </c>
    </row>
    <row r="138" spans="1:3">
      <c r="A138" s="9">
        <v>106</v>
      </c>
      <c r="B138" s="9">
        <v>790355.3374413494</v>
      </c>
      <c r="C138" s="9">
        <v>-6557.4474413493881</v>
      </c>
    </row>
    <row r="139" spans="1:3">
      <c r="A139" s="9">
        <v>107</v>
      </c>
      <c r="B139" s="9">
        <v>721805.68593108375</v>
      </c>
      <c r="C139" s="9">
        <v>73348.154068916221</v>
      </c>
    </row>
    <row r="140" spans="1:3">
      <c r="A140" s="9">
        <v>108</v>
      </c>
      <c r="B140" s="9">
        <v>670444.90499397914</v>
      </c>
      <c r="C140" s="9">
        <v>-4849.9649939791998</v>
      </c>
    </row>
    <row r="141" spans="1:3">
      <c r="A141" s="9">
        <v>109</v>
      </c>
      <c r="B141" s="9">
        <v>683114.86083522555</v>
      </c>
      <c r="C141" s="9">
        <v>26363.52916477446</v>
      </c>
    </row>
    <row r="142" spans="1:3">
      <c r="A142" s="9">
        <v>110</v>
      </c>
      <c r="B142" s="9">
        <v>656563.08606116194</v>
      </c>
      <c r="C142" s="9">
        <v>7599.4039388380479</v>
      </c>
    </row>
    <row r="143" spans="1:3">
      <c r="A143" s="9">
        <v>111</v>
      </c>
      <c r="B143" s="9">
        <v>663832.04158708313</v>
      </c>
      <c r="C143" s="9">
        <v>-30337.831587083172</v>
      </c>
    </row>
    <row r="144" spans="1:3">
      <c r="A144" s="9">
        <v>112</v>
      </c>
      <c r="B144" s="9">
        <v>618465.83619346959</v>
      </c>
      <c r="C144" s="9">
        <v>95145.323806530447</v>
      </c>
    </row>
    <row r="145" spans="1:3">
      <c r="A145" s="9">
        <v>113</v>
      </c>
      <c r="B145" s="9">
        <v>740871.83366686443</v>
      </c>
      <c r="C145" s="9">
        <v>37526.136333135539</v>
      </c>
    </row>
    <row r="146" spans="1:3">
      <c r="A146" s="9">
        <v>114</v>
      </c>
      <c r="B146" s="9">
        <v>835879.60779186431</v>
      </c>
      <c r="C146" s="9">
        <v>37500.412208135705</v>
      </c>
    </row>
    <row r="147" spans="1:3">
      <c r="A147" s="9">
        <v>115</v>
      </c>
      <c r="B147" s="9">
        <v>754005.1385438625</v>
      </c>
      <c r="C147" s="9">
        <v>-56717.238543862477</v>
      </c>
    </row>
    <row r="148" spans="1:3">
      <c r="A148" s="9">
        <v>116</v>
      </c>
      <c r="B148" s="9">
        <v>759421.59367156425</v>
      </c>
      <c r="C148" s="9">
        <v>-41346.803671564208</v>
      </c>
    </row>
    <row r="149" spans="1:3">
      <c r="A149" s="9">
        <v>117</v>
      </c>
      <c r="B149" s="9">
        <v>696455.68847505876</v>
      </c>
      <c r="C149" s="9">
        <v>18486.741524941288</v>
      </c>
    </row>
    <row r="150" spans="1:3">
      <c r="A150" s="9">
        <v>118</v>
      </c>
      <c r="B150" s="9">
        <v>714619.59420682909</v>
      </c>
      <c r="C150" s="9">
        <v>105899.44579317095</v>
      </c>
    </row>
    <row r="151" spans="1:3">
      <c r="A151" s="9">
        <v>119</v>
      </c>
      <c r="B151" s="9">
        <v>739003.42199117434</v>
      </c>
      <c r="C151" s="9">
        <v>-54786.101991174393</v>
      </c>
    </row>
    <row r="152" spans="1:3">
      <c r="A152" s="9">
        <v>120</v>
      </c>
      <c r="B152" s="9">
        <v>721069.54817274492</v>
      </c>
      <c r="C152" s="9">
        <v>14410.641827255022</v>
      </c>
    </row>
    <row r="153" spans="1:3">
      <c r="A153" s="9">
        <v>121</v>
      </c>
      <c r="B153" s="9">
        <v>561697.44122895156</v>
      </c>
      <c r="C153" s="9">
        <v>-52212.631228951563</v>
      </c>
    </row>
    <row r="154" spans="1:3">
      <c r="A154" s="9">
        <v>122</v>
      </c>
      <c r="B154" s="9">
        <v>626364.24839789257</v>
      </c>
      <c r="C154" s="9">
        <v>27952.841602107394</v>
      </c>
    </row>
    <row r="155" spans="1:3">
      <c r="A155" s="9">
        <v>123</v>
      </c>
      <c r="B155" s="9">
        <v>595353.59401397069</v>
      </c>
      <c r="C155" s="9">
        <v>-37866.334013970685</v>
      </c>
    </row>
    <row r="156" spans="1:3">
      <c r="A156" s="9">
        <v>124</v>
      </c>
      <c r="B156" s="9">
        <v>504086.39974100649</v>
      </c>
      <c r="C156" s="9">
        <v>-62810.979741006508</v>
      </c>
    </row>
    <row r="157" spans="1:3">
      <c r="A157" s="9">
        <v>125</v>
      </c>
      <c r="B157" s="9">
        <v>815772.72897946555</v>
      </c>
      <c r="C157" s="9">
        <v>98771.44102053449</v>
      </c>
    </row>
    <row r="158" spans="1:3">
      <c r="A158" s="9">
        <v>126</v>
      </c>
      <c r="B158" s="9">
        <v>846580.38469237275</v>
      </c>
      <c r="C158" s="9">
        <v>-4140.7146923727123</v>
      </c>
    </row>
    <row r="159" spans="1:3">
      <c r="A159" s="9">
        <v>127</v>
      </c>
      <c r="B159" s="9">
        <v>777773.48997499095</v>
      </c>
      <c r="C159" s="9">
        <v>64384.430025009089</v>
      </c>
    </row>
    <row r="160" spans="1:3">
      <c r="A160" s="9">
        <v>128</v>
      </c>
      <c r="B160" s="9">
        <v>696698.62229496497</v>
      </c>
      <c r="C160" s="9">
        <v>456.67770503507927</v>
      </c>
    </row>
    <row r="161" spans="1:3">
      <c r="A161" s="9">
        <v>129</v>
      </c>
      <c r="B161" s="9">
        <v>828215.64988395106</v>
      </c>
      <c r="C161" s="9">
        <v>20802.650116048986</v>
      </c>
    </row>
    <row r="162" spans="1:3">
      <c r="A162" s="9">
        <v>130</v>
      </c>
      <c r="B162" s="9">
        <v>804854.621952708</v>
      </c>
      <c r="C162" s="9">
        <v>-3024.2719527080189</v>
      </c>
    </row>
    <row r="163" spans="1:3">
      <c r="A163" s="9">
        <v>131</v>
      </c>
      <c r="B163" s="9">
        <v>792891.13773197844</v>
      </c>
      <c r="C163" s="9">
        <v>-67655.857731978409</v>
      </c>
    </row>
    <row r="164" spans="1:3">
      <c r="A164" s="9">
        <v>132</v>
      </c>
      <c r="B164" s="9">
        <v>829012.58784580615</v>
      </c>
      <c r="C164" s="9">
        <v>-17559.867845806177</v>
      </c>
    </row>
    <row r="165" spans="1:3">
      <c r="A165" s="9">
        <v>133</v>
      </c>
      <c r="B165" s="9">
        <v>580411.29785714881</v>
      </c>
      <c r="C165" s="9">
        <v>-53111.167857148801</v>
      </c>
    </row>
    <row r="166" spans="1:3">
      <c r="A166" s="9">
        <v>134</v>
      </c>
      <c r="B166" s="9">
        <v>455553.71157041111</v>
      </c>
      <c r="C166" s="9">
        <v>-54722.061570411082</v>
      </c>
    </row>
    <row r="167" spans="1:3">
      <c r="A167" s="9">
        <v>135</v>
      </c>
      <c r="B167" s="9">
        <v>601496.90674668178</v>
      </c>
      <c r="C167" s="9">
        <v>-8249.6567466817796</v>
      </c>
    </row>
    <row r="168" spans="1:3">
      <c r="A168" s="9">
        <v>136</v>
      </c>
      <c r="B168" s="9">
        <v>543792.62299916882</v>
      </c>
      <c r="C168" s="9">
        <v>-14716.672999168863</v>
      </c>
    </row>
    <row r="169" spans="1:3">
      <c r="A169" s="9">
        <v>137</v>
      </c>
      <c r="B169" s="9">
        <v>700571.53691012226</v>
      </c>
      <c r="C169" s="9">
        <v>-66933.506910122233</v>
      </c>
    </row>
    <row r="170" spans="1:3">
      <c r="A170" s="9">
        <v>138</v>
      </c>
      <c r="B170" s="9">
        <v>702438.53632032569</v>
      </c>
      <c r="C170" s="9">
        <v>40910.303679674282</v>
      </c>
    </row>
    <row r="171" spans="1:3">
      <c r="A171" s="9">
        <v>139</v>
      </c>
      <c r="B171" s="9">
        <v>683716.486883873</v>
      </c>
      <c r="C171" s="9">
        <v>75111.15311612701</v>
      </c>
    </row>
    <row r="172" spans="1:3">
      <c r="A172" s="9">
        <v>140</v>
      </c>
      <c r="B172" s="9">
        <v>614931.91037800279</v>
      </c>
      <c r="C172" s="9">
        <v>31627.799621997168</v>
      </c>
    </row>
    <row r="173" spans="1:3">
      <c r="A173" s="9">
        <v>141</v>
      </c>
      <c r="B173" s="9">
        <v>665935.15049993643</v>
      </c>
      <c r="C173" s="9">
        <v>49955.379500063602</v>
      </c>
    </row>
    <row r="174" spans="1:3">
      <c r="A174" s="9">
        <v>142</v>
      </c>
      <c r="B174" s="9">
        <v>696344.05387792084</v>
      </c>
      <c r="C174" s="9">
        <v>18753.516122079105</v>
      </c>
    </row>
    <row r="175" spans="1:3">
      <c r="A175" s="9">
        <v>143</v>
      </c>
      <c r="B175" s="9">
        <v>639811.51248028665</v>
      </c>
      <c r="C175" s="9">
        <v>42827.767519713379</v>
      </c>
    </row>
    <row r="176" spans="1:3">
      <c r="A176" s="9">
        <v>144</v>
      </c>
      <c r="B176" s="9">
        <v>671790.57250340772</v>
      </c>
      <c r="C176" s="9">
        <v>23307.937496592291</v>
      </c>
    </row>
    <row r="177" spans="1:3">
      <c r="A177" s="9">
        <v>145</v>
      </c>
      <c r="B177" s="9">
        <v>608402.44882794796</v>
      </c>
      <c r="C177" s="9">
        <v>-30669.878827948007</v>
      </c>
    </row>
    <row r="178" spans="1:3">
      <c r="A178" s="9">
        <v>146</v>
      </c>
      <c r="B178" s="9">
        <v>563459.18738029711</v>
      </c>
      <c r="C178" s="9">
        <v>-26400.857380297151</v>
      </c>
    </row>
    <row r="179" spans="1:3">
      <c r="A179" s="9">
        <v>147</v>
      </c>
      <c r="B179" s="9">
        <v>597915.92114238301</v>
      </c>
      <c r="C179" s="9">
        <v>3652.9488576169824</v>
      </c>
    </row>
    <row r="180" spans="1:3">
      <c r="A180" s="9">
        <v>148</v>
      </c>
      <c r="B180" s="9">
        <v>565362.33581267786</v>
      </c>
      <c r="C180" s="9">
        <v>5602.5041873221053</v>
      </c>
    </row>
    <row r="181" spans="1:3">
      <c r="A181" s="9">
        <v>149</v>
      </c>
      <c r="B181" s="9">
        <v>649491.87917364947</v>
      </c>
      <c r="C181" s="9">
        <v>-35466.969173649442</v>
      </c>
    </row>
    <row r="182" spans="1:3">
      <c r="A182" s="9">
        <v>150</v>
      </c>
      <c r="B182" s="9">
        <v>713897.57103115879</v>
      </c>
      <c r="C182" s="9">
        <v>-1029.2210311588133</v>
      </c>
    </row>
    <row r="183" spans="1:3">
      <c r="A183" s="9">
        <v>151</v>
      </c>
      <c r="B183" s="9">
        <v>669293.26942553371</v>
      </c>
      <c r="C183" s="9">
        <v>27450.880574466311</v>
      </c>
    </row>
    <row r="184" spans="1:3">
      <c r="A184" s="9">
        <v>152</v>
      </c>
      <c r="B184" s="9">
        <v>702489.36428745522</v>
      </c>
      <c r="C184" s="9">
        <v>23358.625712544774</v>
      </c>
    </row>
    <row r="185" spans="1:3">
      <c r="A185" s="9">
        <v>153</v>
      </c>
      <c r="B185" s="9">
        <v>799264.11768086487</v>
      </c>
      <c r="C185" s="9">
        <v>-14235.867680864874</v>
      </c>
    </row>
    <row r="186" spans="1:3">
      <c r="A186" s="9">
        <v>154</v>
      </c>
      <c r="B186" s="9">
        <v>689986.46280879085</v>
      </c>
      <c r="C186" s="9">
        <v>8506.2071912091924</v>
      </c>
    </row>
    <row r="187" spans="1:3">
      <c r="A187" s="9">
        <v>155</v>
      </c>
      <c r="B187" s="9">
        <v>730247.63608391269</v>
      </c>
      <c r="C187" s="9">
        <v>-44417.396083912696</v>
      </c>
    </row>
    <row r="188" spans="1:3">
      <c r="A188" s="9">
        <v>156</v>
      </c>
      <c r="B188" s="9">
        <v>705047.83711248636</v>
      </c>
      <c r="C188" s="9">
        <v>-2728.8971124864183</v>
      </c>
    </row>
    <row r="189" spans="1:3">
      <c r="A189" s="9">
        <v>157</v>
      </c>
      <c r="B189" s="9">
        <v>718212.52033323073</v>
      </c>
      <c r="C189" s="9">
        <v>-18134.20033323078</v>
      </c>
    </row>
    <row r="190" spans="1:3">
      <c r="A190" s="9">
        <v>158</v>
      </c>
      <c r="B190" s="9">
        <v>647118.57615119347</v>
      </c>
      <c r="C190" s="9">
        <v>-45116.25615119352</v>
      </c>
    </row>
    <row r="191" spans="1:3">
      <c r="A191" s="9">
        <v>159</v>
      </c>
      <c r="B191" s="9">
        <v>664219.85880111868</v>
      </c>
      <c r="C191" s="9">
        <v>59996.211198881269</v>
      </c>
    </row>
    <row r="192" spans="1:3">
      <c r="A192" s="9">
        <v>160</v>
      </c>
      <c r="B192" s="9">
        <v>574699.90594891889</v>
      </c>
      <c r="C192" s="9">
        <v>46273.124051081133</v>
      </c>
    </row>
    <row r="193" spans="1:3">
      <c r="A193" s="9">
        <v>161</v>
      </c>
      <c r="B193" s="9">
        <v>696280.37945891218</v>
      </c>
      <c r="C193" s="9">
        <v>-45800.319458912127</v>
      </c>
    </row>
    <row r="194" spans="1:3">
      <c r="A194" s="9">
        <v>162</v>
      </c>
      <c r="B194" s="9">
        <v>699855.80576039443</v>
      </c>
      <c r="C194" s="9">
        <v>78443.074239605572</v>
      </c>
    </row>
    <row r="195" spans="1:3">
      <c r="A195" s="9">
        <v>163</v>
      </c>
      <c r="B195" s="9">
        <v>680623.33907309291</v>
      </c>
      <c r="C195" s="9">
        <v>-3526.6290730929468</v>
      </c>
    </row>
    <row r="196" spans="1:3">
      <c r="A196" s="9">
        <v>164</v>
      </c>
      <c r="B196" s="9">
        <v>695781.9508931837</v>
      </c>
      <c r="C196" s="9">
        <v>-3773.3108931836905</v>
      </c>
    </row>
    <row r="197" spans="1:3">
      <c r="A197" s="9">
        <v>165</v>
      </c>
      <c r="B197" s="9">
        <v>785839.84856790444</v>
      </c>
      <c r="C197" s="9">
        <v>39958.061432095594</v>
      </c>
    </row>
    <row r="198" spans="1:3">
      <c r="A198" s="9">
        <v>166</v>
      </c>
      <c r="B198" s="9">
        <v>736525.00376054249</v>
      </c>
      <c r="C198" s="9">
        <v>-30239.483760542469</v>
      </c>
    </row>
    <row r="199" spans="1:3">
      <c r="A199" s="9">
        <v>167</v>
      </c>
      <c r="B199" s="9">
        <v>682966.12014389073</v>
      </c>
      <c r="C199" s="9">
        <v>-17431.420143890777</v>
      </c>
    </row>
    <row r="200" spans="1:3">
      <c r="A200" s="9">
        <v>168</v>
      </c>
      <c r="B200" s="9">
        <v>817833.83398456522</v>
      </c>
      <c r="C200" s="9">
        <v>2895.4560154348146</v>
      </c>
    </row>
    <row r="201" spans="1:3">
      <c r="A201" s="9">
        <v>169</v>
      </c>
      <c r="B201" s="9">
        <v>761628.38354814495</v>
      </c>
      <c r="C201" s="9">
        <v>-21796.653548144968</v>
      </c>
    </row>
    <row r="202" spans="1:3">
      <c r="A202" s="9">
        <v>170</v>
      </c>
      <c r="B202" s="9">
        <v>660215.084748897</v>
      </c>
      <c r="C202" s="9">
        <v>-66577.944748896989</v>
      </c>
    </row>
    <row r="203" spans="1:3">
      <c r="A203" s="9">
        <v>171</v>
      </c>
      <c r="B203" s="9">
        <v>725787.54061040725</v>
      </c>
      <c r="C203" s="9">
        <v>43915.219389592763</v>
      </c>
    </row>
    <row r="204" spans="1:3">
      <c r="A204" s="9">
        <v>172</v>
      </c>
      <c r="B204" s="9">
        <v>683796.79772617295</v>
      </c>
      <c r="C204" s="9">
        <v>-4065.2277261730051</v>
      </c>
    </row>
    <row r="205" spans="1:3">
      <c r="A205" s="9">
        <v>173</v>
      </c>
      <c r="B205" s="9">
        <v>764694.8543931134</v>
      </c>
      <c r="C205" s="9">
        <v>15649.325606886647</v>
      </c>
    </row>
    <row r="206" spans="1:3">
      <c r="A206" s="9">
        <v>174</v>
      </c>
      <c r="B206" s="9">
        <v>751029.48959389166</v>
      </c>
      <c r="C206" s="9">
        <v>-29665.379593891674</v>
      </c>
    </row>
    <row r="207" spans="1:3">
      <c r="A207" s="9">
        <v>175</v>
      </c>
      <c r="B207" s="9">
        <v>774859.77550022409</v>
      </c>
      <c r="C207" s="9">
        <v>-16721.485500224051</v>
      </c>
    </row>
    <row r="208" spans="1:3">
      <c r="A208" s="9">
        <v>176</v>
      </c>
      <c r="B208" s="9">
        <v>816436.07493204356</v>
      </c>
      <c r="C208" s="9">
        <v>-12172.074932043557</v>
      </c>
    </row>
    <row r="209" spans="1:3">
      <c r="A209" s="9">
        <v>177</v>
      </c>
      <c r="B209" s="9">
        <v>880790.19043410721</v>
      </c>
      <c r="C209" s="9">
        <v>6747.5595658927923</v>
      </c>
    </row>
    <row r="210" spans="1:3">
      <c r="A210" s="9">
        <v>178</v>
      </c>
      <c r="B210" s="9">
        <v>722242.52257205406</v>
      </c>
      <c r="C210" s="9">
        <v>61339.477427945938</v>
      </c>
    </row>
    <row r="211" spans="1:3">
      <c r="A211" s="9">
        <v>179</v>
      </c>
      <c r="B211" s="9">
        <v>762153.78968371777</v>
      </c>
      <c r="C211" s="9">
        <v>19801.73031628225</v>
      </c>
    </row>
    <row r="212" spans="1:3">
      <c r="A212" s="9">
        <v>180</v>
      </c>
      <c r="B212" s="9">
        <v>850844.84074808308</v>
      </c>
      <c r="C212" s="9">
        <v>47186.199251916958</v>
      </c>
    </row>
    <row r="213" spans="1:3">
      <c r="A213" s="9">
        <v>181</v>
      </c>
      <c r="B213" s="9">
        <v>843904.45245391224</v>
      </c>
      <c r="C213" s="9">
        <v>11436.827546087792</v>
      </c>
    </row>
    <row r="214" spans="1:3">
      <c r="A214" s="9">
        <v>182</v>
      </c>
      <c r="B214" s="9">
        <v>736665.66491648159</v>
      </c>
      <c r="C214" s="9">
        <v>14728.215083518415</v>
      </c>
    </row>
    <row r="215" spans="1:3">
      <c r="A215" s="9">
        <v>183</v>
      </c>
      <c r="B215" s="9">
        <v>747924.69778288645</v>
      </c>
      <c r="C215" s="9">
        <v>13152.382217113511</v>
      </c>
    </row>
    <row r="216" spans="1:3">
      <c r="A216" s="9">
        <v>184</v>
      </c>
      <c r="B216" s="9">
        <v>815749.45992626809</v>
      </c>
      <c r="C216" s="9">
        <v>3911.1300737318816</v>
      </c>
    </row>
    <row r="217" spans="1:3">
      <c r="A217" s="9">
        <v>185</v>
      </c>
      <c r="B217" s="9">
        <v>702545.07616122486</v>
      </c>
      <c r="C217" s="9">
        <v>-20689.516161224805</v>
      </c>
    </row>
    <row r="218" spans="1:3">
      <c r="A218" s="9">
        <v>186</v>
      </c>
      <c r="B218" s="9">
        <v>657452.49221383338</v>
      </c>
      <c r="C218" s="9">
        <v>20858.677786166663</v>
      </c>
    </row>
    <row r="219" spans="1:3">
      <c r="A219" s="9">
        <v>187</v>
      </c>
      <c r="B219" s="9">
        <v>705422.24417177658</v>
      </c>
      <c r="C219" s="9">
        <v>60484.705828223377</v>
      </c>
    </row>
    <row r="220" spans="1:3">
      <c r="A220" s="9">
        <v>188</v>
      </c>
      <c r="B220" s="9">
        <v>708020.87989563984</v>
      </c>
      <c r="C220" s="9">
        <v>4525.500104360166</v>
      </c>
    </row>
    <row r="221" spans="1:3">
      <c r="A221" s="9">
        <v>189</v>
      </c>
      <c r="B221" s="9">
        <v>597742.48801734042</v>
      </c>
      <c r="C221" s="9">
        <v>28251.341982659535</v>
      </c>
    </row>
    <row r="222" spans="1:3">
      <c r="A222" s="9">
        <v>190</v>
      </c>
      <c r="B222" s="9">
        <v>550358.74312733929</v>
      </c>
      <c r="C222" s="9">
        <v>604.18687266076449</v>
      </c>
    </row>
    <row r="223" spans="1:3">
      <c r="A223" s="9">
        <v>191</v>
      </c>
      <c r="B223" s="9">
        <v>460686.1189906121</v>
      </c>
      <c r="C223" s="9">
        <v>-17410.528990612074</v>
      </c>
    </row>
    <row r="224" spans="1:3">
      <c r="A224" s="9">
        <v>192</v>
      </c>
      <c r="B224" s="9">
        <v>605120.79357550596</v>
      </c>
      <c r="C224" s="9">
        <v>-51108.72357550601</v>
      </c>
    </row>
    <row r="225" spans="1:3">
      <c r="A225" s="9">
        <v>193</v>
      </c>
      <c r="B225" s="9">
        <v>677758.4415130571</v>
      </c>
      <c r="C225" s="9">
        <v>-34329.591513057123</v>
      </c>
    </row>
    <row r="226" spans="1:3">
      <c r="A226" s="9">
        <v>194</v>
      </c>
      <c r="B226" s="9">
        <v>610072.83514581737</v>
      </c>
      <c r="C226" s="9">
        <v>1851.4348541826475</v>
      </c>
    </row>
    <row r="227" spans="1:3">
      <c r="A227" s="9">
        <v>195</v>
      </c>
      <c r="B227" s="9">
        <v>549226.17514142359</v>
      </c>
      <c r="C227" s="9">
        <v>10195.844858576427</v>
      </c>
    </row>
    <row r="228" spans="1:3">
      <c r="A228" s="9">
        <v>196</v>
      </c>
      <c r="B228" s="9">
        <v>517236.64236770902</v>
      </c>
      <c r="C228" s="9">
        <v>-67771.582367709023</v>
      </c>
    </row>
    <row r="229" spans="1:3">
      <c r="A229" s="9">
        <v>197</v>
      </c>
      <c r="B229" s="9">
        <v>634525.14542128623</v>
      </c>
      <c r="C229" s="9">
        <v>56922.284578713821</v>
      </c>
    </row>
    <row r="230" spans="1:3">
      <c r="A230" s="9">
        <v>198</v>
      </c>
      <c r="B230" s="9">
        <v>600573.97729907325</v>
      </c>
      <c r="C230" s="9">
        <v>-26507.367299073259</v>
      </c>
    </row>
    <row r="231" spans="1:3">
      <c r="A231" s="9">
        <v>199</v>
      </c>
      <c r="B231" s="9">
        <v>593928.39267624298</v>
      </c>
      <c r="C231" s="9">
        <v>-14978.552676243009</v>
      </c>
    </row>
    <row r="232" spans="1:3">
      <c r="A232" s="9">
        <v>200</v>
      </c>
      <c r="B232" s="9">
        <v>638540.14711119211</v>
      </c>
      <c r="C232" s="9">
        <v>97246.492888807901</v>
      </c>
    </row>
    <row r="233" spans="1:3">
      <c r="A233" s="9">
        <v>201</v>
      </c>
      <c r="B233" s="9">
        <v>630749.87455005595</v>
      </c>
      <c r="C233" s="9">
        <v>-31844.974550055922</v>
      </c>
    </row>
    <row r="234" spans="1:3">
      <c r="A234" s="9">
        <v>202</v>
      </c>
      <c r="B234" s="9">
        <v>707902.39271239145</v>
      </c>
      <c r="C234" s="9">
        <v>79813.117287608562</v>
      </c>
    </row>
    <row r="235" spans="1:3">
      <c r="A235" s="9">
        <v>203</v>
      </c>
      <c r="B235" s="9">
        <v>672609.36125419172</v>
      </c>
      <c r="C235" s="9">
        <v>-65524.441254191683</v>
      </c>
    </row>
    <row r="236" spans="1:3">
      <c r="A236" s="9">
        <v>204</v>
      </c>
      <c r="B236" s="9">
        <v>694746.95946254337</v>
      </c>
      <c r="C236" s="9">
        <v>-43951.469462543377</v>
      </c>
    </row>
    <row r="237" spans="1:3">
      <c r="A237" s="9">
        <v>205</v>
      </c>
      <c r="B237" s="9">
        <v>853569.71835501271</v>
      </c>
      <c r="C237" s="9">
        <v>-28509.19835501269</v>
      </c>
    </row>
    <row r="238" spans="1:3">
      <c r="A238" s="9">
        <v>206</v>
      </c>
      <c r="B238" s="9">
        <v>752849.56977335387</v>
      </c>
      <c r="C238" s="9">
        <v>42614.900226646103</v>
      </c>
    </row>
    <row r="239" spans="1:3">
      <c r="A239" s="9">
        <v>207</v>
      </c>
      <c r="B239" s="9">
        <v>746043.39063806669</v>
      </c>
      <c r="C239" s="9">
        <v>-74174.800638066721</v>
      </c>
    </row>
    <row r="240" spans="1:3">
      <c r="A240" s="9">
        <v>208</v>
      </c>
      <c r="B240" s="9">
        <v>767689.68994390802</v>
      </c>
      <c r="C240" s="9">
        <v>-91772.059943908011</v>
      </c>
    </row>
    <row r="241" spans="1:3">
      <c r="A241" s="9">
        <v>209</v>
      </c>
      <c r="B241" s="9">
        <v>807113.36208650097</v>
      </c>
      <c r="C241" s="9">
        <v>3333.1679134990554</v>
      </c>
    </row>
    <row r="242" spans="1:3">
      <c r="A242" s="9">
        <v>210</v>
      </c>
      <c r="B242" s="9">
        <v>773405.07725729421</v>
      </c>
      <c r="C242" s="9">
        <v>-82116.887257294264</v>
      </c>
    </row>
    <row r="243" spans="1:3">
      <c r="A243" s="9">
        <v>211</v>
      </c>
      <c r="B243" s="9">
        <v>969513.97547178576</v>
      </c>
      <c r="C243" s="9">
        <v>-22680.43547178572</v>
      </c>
    </row>
    <row r="244" spans="1:3">
      <c r="A244" s="9">
        <v>212</v>
      </c>
      <c r="B244" s="9">
        <v>778415.36820867425</v>
      </c>
      <c r="C244" s="9">
        <v>-16452.138208674267</v>
      </c>
    </row>
    <row r="245" spans="1:3">
      <c r="A245" s="9">
        <v>213</v>
      </c>
      <c r="B245" s="9">
        <v>763472.40501572203</v>
      </c>
      <c r="C245" s="9">
        <v>48680.194984277943</v>
      </c>
    </row>
    <row r="246" spans="1:3">
      <c r="A246" s="9">
        <v>214</v>
      </c>
      <c r="B246" s="9">
        <v>750198.1405705153</v>
      </c>
      <c r="C246" s="9">
        <v>54777.359429484699</v>
      </c>
    </row>
    <row r="247" spans="1:3">
      <c r="A247" s="9">
        <v>215</v>
      </c>
      <c r="B247" s="9">
        <v>750240.41093146219</v>
      </c>
      <c r="C247" s="9">
        <v>2081.3090685377829</v>
      </c>
    </row>
    <row r="248" spans="1:3">
      <c r="A248" s="9">
        <v>216</v>
      </c>
      <c r="B248" s="9">
        <v>810065.40304737468</v>
      </c>
      <c r="C248" s="9">
        <v>26842.836952625308</v>
      </c>
    </row>
    <row r="249" spans="1:3">
      <c r="A249" s="9">
        <v>217</v>
      </c>
      <c r="B249" s="9">
        <v>662409.69484902022</v>
      </c>
      <c r="C249" s="9">
        <v>11879.405150979757</v>
      </c>
    </row>
    <row r="250" spans="1:3">
      <c r="A250" s="9">
        <v>218</v>
      </c>
      <c r="B250" s="9">
        <v>635742.91754861386</v>
      </c>
      <c r="C250" s="9">
        <v>-12850.497548613814</v>
      </c>
    </row>
    <row r="251" spans="1:3">
      <c r="A251" s="9">
        <v>219</v>
      </c>
      <c r="B251" s="9">
        <v>636427.73100168759</v>
      </c>
      <c r="C251" s="9">
        <v>36920.828998312471</v>
      </c>
    </row>
    <row r="252" spans="1:3">
      <c r="A252" s="9">
        <v>220</v>
      </c>
      <c r="B252" s="9">
        <v>615454.16373464535</v>
      </c>
      <c r="C252" s="9">
        <v>-9175.8637346453033</v>
      </c>
    </row>
    <row r="253" spans="1:3">
      <c r="A253" s="9">
        <v>221</v>
      </c>
      <c r="B253" s="9">
        <v>707866.42900929321</v>
      </c>
      <c r="C253" s="9">
        <v>4353.3809907068498</v>
      </c>
    </row>
    <row r="254" spans="1:3">
      <c r="A254" s="9">
        <v>222</v>
      </c>
      <c r="B254" s="9">
        <v>683382.88381180423</v>
      </c>
      <c r="C254" s="9">
        <v>-10712.343811804196</v>
      </c>
    </row>
    <row r="255" spans="1:3">
      <c r="A255" s="9">
        <v>223</v>
      </c>
      <c r="B255" s="9">
        <v>744707.03671846166</v>
      </c>
      <c r="C255" s="9">
        <v>-12039.116718461621</v>
      </c>
    </row>
    <row r="256" spans="1:3">
      <c r="A256" s="9">
        <v>224</v>
      </c>
      <c r="B256" s="9">
        <v>769201.6654001344</v>
      </c>
      <c r="C256" s="9">
        <v>-45670.265400134376</v>
      </c>
    </row>
    <row r="257" spans="1:3">
      <c r="A257" s="9">
        <v>225</v>
      </c>
      <c r="B257" s="9">
        <v>622740.8388929246</v>
      </c>
      <c r="C257" s="9">
        <v>18823.761107075377</v>
      </c>
    </row>
    <row r="258" spans="1:3">
      <c r="A258" s="9">
        <v>226</v>
      </c>
      <c r="B258" s="9">
        <v>542713.75318914664</v>
      </c>
      <c r="C258" s="9">
        <v>-6168.2631891466444</v>
      </c>
    </row>
    <row r="259" spans="1:3">
      <c r="A259" s="9">
        <v>227</v>
      </c>
      <c r="B259" s="9">
        <v>568356.67743175558</v>
      </c>
      <c r="C259" s="9">
        <v>-40675.117431755527</v>
      </c>
    </row>
    <row r="260" spans="1:3">
      <c r="A260" s="9">
        <v>228</v>
      </c>
      <c r="B260" s="9">
        <v>520121.80647882744</v>
      </c>
      <c r="C260" s="9">
        <v>9477.1335211725091</v>
      </c>
    </row>
    <row r="261" spans="1:3">
      <c r="A261" s="9">
        <v>229</v>
      </c>
      <c r="B261" s="9">
        <v>634572.96756221773</v>
      </c>
      <c r="C261" s="9">
        <v>-63609.657562217675</v>
      </c>
    </row>
    <row r="262" spans="1:3">
      <c r="A262" s="9">
        <v>230</v>
      </c>
      <c r="B262" s="9">
        <v>817939.95122408157</v>
      </c>
      <c r="C262" s="9">
        <v>52997.448775918456</v>
      </c>
    </row>
    <row r="263" spans="1:3">
      <c r="A263" s="9">
        <v>231</v>
      </c>
      <c r="B263" s="9">
        <v>639254.48303786071</v>
      </c>
      <c r="C263" s="9">
        <v>-42285.213037860696</v>
      </c>
    </row>
    <row r="264" spans="1:3">
      <c r="A264" s="9">
        <v>232</v>
      </c>
      <c r="B264" s="9">
        <v>637025.16502842028</v>
      </c>
      <c r="C264" s="9">
        <v>10487.6849715797</v>
      </c>
    </row>
    <row r="265" spans="1:3">
      <c r="A265" s="9">
        <v>233</v>
      </c>
      <c r="B265" s="9">
        <v>600891.36107506079</v>
      </c>
      <c r="C265" s="9">
        <v>57180.778924939223</v>
      </c>
    </row>
    <row r="266" spans="1:3">
      <c r="A266" s="9">
        <v>234</v>
      </c>
      <c r="B266" s="9">
        <v>631602.29353291565</v>
      </c>
      <c r="C266" s="9">
        <v>91702.81646708434</v>
      </c>
    </row>
    <row r="267" spans="1:3">
      <c r="A267" s="9">
        <v>235</v>
      </c>
      <c r="B267" s="9">
        <v>618593.67299551179</v>
      </c>
      <c r="C267" s="9">
        <v>22072.857004488236</v>
      </c>
    </row>
    <row r="268" spans="1:3">
      <c r="A268" s="9">
        <v>236</v>
      </c>
      <c r="B268" s="9">
        <v>653590.73798794101</v>
      </c>
      <c r="C268" s="9">
        <v>17038.742012058967</v>
      </c>
    </row>
    <row r="269" spans="1:3">
      <c r="A269" s="9">
        <v>237</v>
      </c>
      <c r="B269" s="9">
        <v>797261.57385784015</v>
      </c>
      <c r="C269" s="9">
        <v>-76182.223857840174</v>
      </c>
    </row>
    <row r="270" spans="1:3">
      <c r="A270" s="9">
        <v>238</v>
      </c>
      <c r="B270" s="9">
        <v>831054.07192678284</v>
      </c>
      <c r="C270" s="9">
        <v>-20699.05192678282</v>
      </c>
    </row>
    <row r="271" spans="1:3">
      <c r="A271" s="9">
        <v>239</v>
      </c>
      <c r="B271" s="9">
        <v>774746.88918641349</v>
      </c>
      <c r="C271" s="9">
        <v>-12827.639186413493</v>
      </c>
    </row>
    <row r="272" spans="1:3">
      <c r="A272" s="9">
        <v>240</v>
      </c>
      <c r="B272" s="9">
        <v>732730.1642236067</v>
      </c>
      <c r="C272" s="9">
        <v>4340.015776393353</v>
      </c>
    </row>
    <row r="273" spans="1:3">
      <c r="A273" s="9">
        <v>241</v>
      </c>
      <c r="B273" s="9">
        <v>751799.84525041573</v>
      </c>
      <c r="C273" s="9">
        <v>25193.084749584319</v>
      </c>
    </row>
    <row r="274" spans="1:3">
      <c r="A274" s="9">
        <v>242</v>
      </c>
      <c r="B274" s="9">
        <v>662432.91496797185</v>
      </c>
      <c r="C274" s="9">
        <v>13904.495032028179</v>
      </c>
    </row>
    <row r="275" spans="1:3">
      <c r="A275" s="9">
        <v>243</v>
      </c>
      <c r="B275" s="9">
        <v>826083.81946143566</v>
      </c>
      <c r="C275" s="9">
        <v>2135.8505385643803</v>
      </c>
    </row>
    <row r="276" spans="1:3">
      <c r="A276" s="9">
        <v>244</v>
      </c>
      <c r="B276" s="9">
        <v>776390.9710659961</v>
      </c>
      <c r="C276" s="9">
        <v>-13231.051065996056</v>
      </c>
    </row>
    <row r="277" spans="1:3">
      <c r="A277" s="9">
        <v>245</v>
      </c>
      <c r="B277" s="9">
        <v>795506.49294294475</v>
      </c>
      <c r="C277" s="9">
        <v>6495.1870570553001</v>
      </c>
    </row>
    <row r="278" spans="1:3">
      <c r="A278" s="9">
        <v>246</v>
      </c>
      <c r="B278" s="9">
        <v>756726.88908616058</v>
      </c>
      <c r="C278" s="9">
        <v>-6255.5490861606086</v>
      </c>
    </row>
    <row r="279" spans="1:3">
      <c r="A279" s="9">
        <v>247</v>
      </c>
      <c r="B279" s="9">
        <v>715179.05171267269</v>
      </c>
      <c r="C279" s="9">
        <v>-35948.191712672706</v>
      </c>
    </row>
    <row r="280" spans="1:3">
      <c r="A280" s="9">
        <v>248</v>
      </c>
      <c r="B280" s="9">
        <v>693268.28520049504</v>
      </c>
      <c r="C280" s="9">
        <v>-13379.545200495049</v>
      </c>
    </row>
    <row r="281" spans="1:3">
      <c r="A281" s="9">
        <v>249</v>
      </c>
      <c r="B281" s="9">
        <v>594636.25071805879</v>
      </c>
      <c r="C281" s="9">
        <v>12147.419281941256</v>
      </c>
    </row>
    <row r="282" spans="1:3">
      <c r="A282" s="9">
        <v>250</v>
      </c>
      <c r="B282" s="9">
        <v>659957.18111136474</v>
      </c>
      <c r="C282" s="9">
        <v>-17205.7611113647</v>
      </c>
    </row>
    <row r="283" spans="1:3">
      <c r="A283" s="9">
        <v>251</v>
      </c>
      <c r="B283" s="9">
        <v>643670.89366246539</v>
      </c>
      <c r="C283" s="9">
        <v>4282.8863375346409</v>
      </c>
    </row>
    <row r="284" spans="1:3">
      <c r="A284" s="9">
        <v>252</v>
      </c>
      <c r="B284" s="9">
        <v>713360.11352351378</v>
      </c>
      <c r="C284" s="9">
        <v>16080.336476486176</v>
      </c>
    </row>
    <row r="285" spans="1:3">
      <c r="A285" s="9">
        <v>253</v>
      </c>
      <c r="B285" s="9">
        <v>776643.11051100504</v>
      </c>
      <c r="C285" s="9">
        <v>-11694.110511005041</v>
      </c>
    </row>
    <row r="286" spans="1:3">
      <c r="A286" s="9">
        <v>254</v>
      </c>
      <c r="B286" s="9">
        <v>727973.89794129273</v>
      </c>
      <c r="C286" s="9">
        <v>71073.042058707215</v>
      </c>
    </row>
    <row r="287" spans="1:3">
      <c r="A287" s="9">
        <v>255</v>
      </c>
      <c r="B287" s="9">
        <v>696942.06054074666</v>
      </c>
      <c r="C287" s="9">
        <v>23137.479459253373</v>
      </c>
    </row>
    <row r="288" spans="1:3">
      <c r="A288" s="9">
        <v>256</v>
      </c>
      <c r="B288" s="9">
        <v>660936.68573315954</v>
      </c>
      <c r="C288" s="9">
        <v>-48546.545733159524</v>
      </c>
    </row>
    <row r="289" spans="1:3">
      <c r="A289" s="9">
        <v>257</v>
      </c>
      <c r="B289" s="9">
        <v>759791.7299538462</v>
      </c>
      <c r="C289" s="9">
        <v>80316.3900461538</v>
      </c>
    </row>
    <row r="290" spans="1:3">
      <c r="A290" s="9">
        <v>258</v>
      </c>
      <c r="B290" s="9">
        <v>678218.41044427652</v>
      </c>
      <c r="C290" s="9">
        <v>19669.679555723444</v>
      </c>
    </row>
    <row r="291" spans="1:3">
      <c r="A291" s="9">
        <v>259</v>
      </c>
      <c r="B291" s="9">
        <v>744686.89567620552</v>
      </c>
      <c r="C291" s="9">
        <v>1428.6943237944506</v>
      </c>
    </row>
    <row r="292" spans="1:3">
      <c r="A292" s="9">
        <v>260</v>
      </c>
      <c r="B292" s="9">
        <v>733191.57441327581</v>
      </c>
      <c r="C292" s="9">
        <v>42918.745586724137</v>
      </c>
    </row>
    <row r="293" spans="1:3">
      <c r="A293" s="9">
        <v>261</v>
      </c>
      <c r="B293" s="9">
        <v>519464.97530109331</v>
      </c>
      <c r="C293" s="9">
        <v>9387.6446989066899</v>
      </c>
    </row>
    <row r="294" spans="1:3">
      <c r="A294" s="9">
        <v>262</v>
      </c>
      <c r="B294" s="9">
        <v>600429.35591621487</v>
      </c>
      <c r="C294" s="9">
        <v>5321.9740837850841</v>
      </c>
    </row>
    <row r="295" spans="1:3">
      <c r="A295" s="9">
        <v>263</v>
      </c>
      <c r="B295" s="9">
        <v>608034.70380394079</v>
      </c>
      <c r="C295" s="9">
        <v>69605.946196059231</v>
      </c>
    </row>
    <row r="296" spans="1:3">
      <c r="A296" s="9">
        <v>264</v>
      </c>
      <c r="B296" s="9">
        <v>609438.97820151085</v>
      </c>
      <c r="C296" s="9">
        <v>27174.251798489131</v>
      </c>
    </row>
    <row r="297" spans="1:3">
      <c r="A297" s="9">
        <v>265</v>
      </c>
      <c r="B297" s="9">
        <v>734190.74112747749</v>
      </c>
      <c r="C297" s="9">
        <v>-25205.551127477549</v>
      </c>
    </row>
    <row r="298" spans="1:3">
      <c r="A298" s="9">
        <v>266</v>
      </c>
      <c r="B298" s="9">
        <v>739451.92626865488</v>
      </c>
      <c r="C298" s="9">
        <v>28341.013731345069</v>
      </c>
    </row>
    <row r="299" spans="1:3">
      <c r="A299" s="9">
        <v>267</v>
      </c>
      <c r="B299" s="9">
        <v>726144.01947782515</v>
      </c>
      <c r="C299" s="9">
        <v>19436.490522174863</v>
      </c>
    </row>
    <row r="300" spans="1:3">
      <c r="A300" s="9">
        <v>268</v>
      </c>
      <c r="B300" s="9">
        <v>736852.9295739911</v>
      </c>
      <c r="C300" s="9">
        <v>25475.380426008953</v>
      </c>
    </row>
    <row r="301" spans="1:3">
      <c r="A301" s="9">
        <v>269</v>
      </c>
      <c r="B301" s="9">
        <v>754801.95029841294</v>
      </c>
      <c r="C301" s="9">
        <v>-94167.960298412945</v>
      </c>
    </row>
    <row r="302" spans="1:3">
      <c r="A302" s="9">
        <v>270</v>
      </c>
      <c r="B302" s="9">
        <v>705057.46399506647</v>
      </c>
      <c r="C302" s="9">
        <v>34317.096004933584</v>
      </c>
    </row>
    <row r="303" spans="1:3">
      <c r="A303" s="9">
        <v>271</v>
      </c>
      <c r="B303" s="9">
        <v>814948.23441268725</v>
      </c>
      <c r="C303" s="9">
        <v>-15191.774412687286</v>
      </c>
    </row>
    <row r="304" spans="1:3">
      <c r="A304" s="9">
        <v>272</v>
      </c>
      <c r="B304" s="9">
        <v>685376.43898000324</v>
      </c>
      <c r="C304" s="9">
        <v>-92033.438980003237</v>
      </c>
    </row>
    <row r="305" spans="1:3">
      <c r="A305" s="9">
        <v>273</v>
      </c>
      <c r="B305" s="9">
        <v>641163.80440171016</v>
      </c>
      <c r="C305" s="9">
        <v>3876.1655982898083</v>
      </c>
    </row>
    <row r="306" spans="1:3">
      <c r="A306" s="9">
        <v>274</v>
      </c>
      <c r="B306" s="9">
        <v>524740.96731525823</v>
      </c>
      <c r="C306" s="9">
        <v>36856.362684741733</v>
      </c>
    </row>
    <row r="307" spans="1:3">
      <c r="A307" s="9">
        <v>275</v>
      </c>
      <c r="B307" s="9">
        <v>647790.04587708064</v>
      </c>
      <c r="C307" s="9">
        <v>-11952.305877080653</v>
      </c>
    </row>
    <row r="308" spans="1:3">
      <c r="A308" s="9">
        <v>276</v>
      </c>
      <c r="B308" s="9">
        <v>598272.89181686111</v>
      </c>
      <c r="C308" s="9">
        <v>88464.978183138883</v>
      </c>
    </row>
    <row r="309" spans="1:3">
      <c r="A309" s="9">
        <v>277</v>
      </c>
      <c r="B309" s="9">
        <v>735293.50692152744</v>
      </c>
      <c r="C309" s="9">
        <v>-62217.166921527474</v>
      </c>
    </row>
    <row r="310" spans="1:3">
      <c r="A310" s="9">
        <v>278</v>
      </c>
      <c r="B310" s="9">
        <v>698820.58292866964</v>
      </c>
      <c r="C310" s="9">
        <v>39727.837071330403</v>
      </c>
    </row>
    <row r="311" spans="1:3">
      <c r="A311" s="9">
        <v>279</v>
      </c>
      <c r="B311" s="9">
        <v>737931.93182976346</v>
      </c>
      <c r="C311" s="9">
        <v>18687.838170236559</v>
      </c>
    </row>
    <row r="312" spans="1:3">
      <c r="A312" s="9">
        <v>280</v>
      </c>
      <c r="B312" s="9">
        <v>769770.78270300571</v>
      </c>
      <c r="C312" s="9">
        <v>-8648.3627030056668</v>
      </c>
    </row>
    <row r="313" spans="1:3">
      <c r="A313" s="9">
        <v>281</v>
      </c>
      <c r="B313" s="9">
        <v>570888.79159050551</v>
      </c>
      <c r="C313" s="9">
        <v>-45989.221590505564</v>
      </c>
    </row>
    <row r="314" spans="1:3">
      <c r="A314" s="9">
        <v>282</v>
      </c>
      <c r="B314" s="9">
        <v>584847.92982665729</v>
      </c>
      <c r="C314" s="9">
        <v>-29290.159826657269</v>
      </c>
    </row>
    <row r="315" spans="1:3">
      <c r="A315" s="9">
        <v>283</v>
      </c>
      <c r="B315" s="9">
        <v>690749.71204276965</v>
      </c>
      <c r="C315" s="9">
        <v>23333.967957230401</v>
      </c>
    </row>
    <row r="316" spans="1:3">
      <c r="A316" s="9">
        <v>284</v>
      </c>
      <c r="B316" s="9">
        <v>496101.44275785168</v>
      </c>
      <c r="C316" s="9">
        <v>1338.37724214833</v>
      </c>
    </row>
    <row r="317" spans="1:3">
      <c r="A317" s="9">
        <v>285</v>
      </c>
      <c r="B317" s="9">
        <v>636195.05305529782</v>
      </c>
      <c r="C317" s="9">
        <v>580.60694470221642</v>
      </c>
    </row>
    <row r="318" spans="1:3">
      <c r="A318" s="9">
        <v>286</v>
      </c>
      <c r="B318" s="9">
        <v>621324.00419255812</v>
      </c>
      <c r="C318" s="9">
        <v>11685.525807441911</v>
      </c>
    </row>
    <row r="319" spans="1:3">
      <c r="A319" s="9">
        <v>287</v>
      </c>
      <c r="B319" s="9">
        <v>590312.18978427071</v>
      </c>
      <c r="C319" s="9">
        <v>19636.810215729289</v>
      </c>
    </row>
    <row r="320" spans="1:3">
      <c r="A320" s="9">
        <v>288</v>
      </c>
      <c r="B320" s="9">
        <v>542908.27793952054</v>
      </c>
      <c r="C320" s="9">
        <v>5195.42206047941</v>
      </c>
    </row>
    <row r="321" spans="1:3">
      <c r="A321" s="9">
        <v>289</v>
      </c>
      <c r="B321" s="9">
        <v>690247.36692116561</v>
      </c>
      <c r="C321" s="9">
        <v>39177.053078834433</v>
      </c>
    </row>
    <row r="322" spans="1:3">
      <c r="A322" s="9">
        <v>290</v>
      </c>
      <c r="B322" s="9">
        <v>713404.33592845534</v>
      </c>
      <c r="C322" s="9">
        <v>-17142.845928455354</v>
      </c>
    </row>
    <row r="323" spans="1:3">
      <c r="A323" s="9">
        <v>291</v>
      </c>
      <c r="B323" s="9">
        <v>713693.29972397513</v>
      </c>
      <c r="C323" s="9">
        <v>99623.410276024835</v>
      </c>
    </row>
    <row r="324" spans="1:3">
      <c r="A324" s="9">
        <v>292</v>
      </c>
      <c r="B324" s="9">
        <v>712929.68163381703</v>
      </c>
      <c r="C324" s="9">
        <v>-10860.76163381699</v>
      </c>
    </row>
    <row r="325" spans="1:3">
      <c r="A325" s="9">
        <v>293</v>
      </c>
      <c r="B325" s="9">
        <v>581131.58940503991</v>
      </c>
      <c r="C325" s="9">
        <v>-34907.889405039954</v>
      </c>
    </row>
    <row r="326" spans="1:3">
      <c r="A326" s="9">
        <v>294</v>
      </c>
      <c r="B326" s="9">
        <v>522228.42020516616</v>
      </c>
      <c r="C326" s="9">
        <v>10892.839794833853</v>
      </c>
    </row>
    <row r="327" spans="1:3">
      <c r="A327" s="9">
        <v>295</v>
      </c>
      <c r="B327" s="9">
        <v>489973.08180090412</v>
      </c>
      <c r="C327" s="9">
        <v>8997.238199095882</v>
      </c>
    </row>
    <row r="328" spans="1:3">
      <c r="A328" s="9">
        <v>296</v>
      </c>
      <c r="B328" s="9">
        <v>459871.31260669976</v>
      </c>
      <c r="C328" s="9">
        <v>27866.947393300245</v>
      </c>
    </row>
    <row r="329" spans="1:3">
      <c r="A329" s="9">
        <v>297</v>
      </c>
      <c r="B329" s="9">
        <v>677490.0441778393</v>
      </c>
      <c r="C329" s="9">
        <v>-9030.6741778393043</v>
      </c>
    </row>
    <row r="330" spans="1:3">
      <c r="A330" s="9">
        <v>298</v>
      </c>
      <c r="B330" s="9">
        <v>682998.49657781748</v>
      </c>
      <c r="C330" s="9">
        <v>80163.953422182472</v>
      </c>
    </row>
    <row r="331" spans="1:3">
      <c r="A331" s="9">
        <v>299</v>
      </c>
      <c r="B331" s="9">
        <v>624110.86333097296</v>
      </c>
      <c r="C331" s="9">
        <v>-25093.533330973005</v>
      </c>
    </row>
    <row r="332" spans="1:3">
      <c r="A332" s="9">
        <v>300</v>
      </c>
      <c r="B332" s="9">
        <v>475638.93012828339</v>
      </c>
      <c r="C332" s="9">
        <v>-74056.350128283375</v>
      </c>
    </row>
    <row r="333" spans="1:3">
      <c r="A333" s="9">
        <v>301</v>
      </c>
      <c r="B333" s="9">
        <v>729917.98021637113</v>
      </c>
      <c r="C333" s="9">
        <v>-26104.990216371138</v>
      </c>
    </row>
    <row r="334" spans="1:3">
      <c r="A334" s="9">
        <v>302</v>
      </c>
      <c r="B334" s="9">
        <v>737507.87772599957</v>
      </c>
      <c r="C334" s="9">
        <v>-13161.147725999588</v>
      </c>
    </row>
    <row r="335" spans="1:3">
      <c r="A335" s="9">
        <v>303</v>
      </c>
      <c r="B335" s="9">
        <v>742146.74205641297</v>
      </c>
      <c r="C335" s="9">
        <v>-11256.732056412962</v>
      </c>
    </row>
    <row r="336" spans="1:3">
      <c r="A336" s="9">
        <v>304</v>
      </c>
      <c r="B336" s="9">
        <v>728560.38626781921</v>
      </c>
      <c r="C336" s="9">
        <v>52020.563732180744</v>
      </c>
    </row>
    <row r="337" spans="1:3">
      <c r="A337" s="9">
        <v>305</v>
      </c>
      <c r="B337" s="9">
        <v>677173.03694308829</v>
      </c>
      <c r="C337" s="9">
        <v>50784.443056911696</v>
      </c>
    </row>
    <row r="338" spans="1:3">
      <c r="A338" s="9">
        <v>306</v>
      </c>
      <c r="B338" s="9">
        <v>627543.75128203805</v>
      </c>
      <c r="C338" s="9">
        <v>-89167.751282038051</v>
      </c>
    </row>
    <row r="339" spans="1:3">
      <c r="A339" s="9">
        <v>307</v>
      </c>
      <c r="B339" s="9">
        <v>607749.68163595977</v>
      </c>
      <c r="C339" s="9">
        <v>57592.808364040218</v>
      </c>
    </row>
    <row r="340" spans="1:3">
      <c r="A340" s="9">
        <v>308</v>
      </c>
      <c r="B340" s="9">
        <v>699182.4725326125</v>
      </c>
      <c r="C340" s="9">
        <v>-48018.292532612453</v>
      </c>
    </row>
    <row r="341" spans="1:3">
      <c r="A341" s="9">
        <v>309</v>
      </c>
      <c r="B341" s="9">
        <v>640804.08954855462</v>
      </c>
      <c r="C341" s="9">
        <v>-12265.789548554574</v>
      </c>
    </row>
    <row r="342" spans="1:3">
      <c r="A342" s="9">
        <v>310</v>
      </c>
      <c r="B342" s="9">
        <v>571810.50663738197</v>
      </c>
      <c r="C342" s="9">
        <v>-35285.666637382004</v>
      </c>
    </row>
    <row r="343" spans="1:3">
      <c r="A343" s="9">
        <v>311</v>
      </c>
      <c r="B343" s="9">
        <v>628577.33692738786</v>
      </c>
      <c r="C343" s="9">
        <v>-6900.0369273878168</v>
      </c>
    </row>
    <row r="344" spans="1:3">
      <c r="A344" s="9">
        <v>312</v>
      </c>
      <c r="B344" s="9">
        <v>747692.76618478401</v>
      </c>
      <c r="C344" s="9">
        <v>23436.303815215942</v>
      </c>
    </row>
    <row r="345" spans="1:3">
      <c r="A345" s="9">
        <v>313</v>
      </c>
      <c r="B345" s="9">
        <v>675246.17402610648</v>
      </c>
      <c r="C345" s="9">
        <v>26806.295973893488</v>
      </c>
    </row>
    <row r="346" spans="1:3">
      <c r="A346" s="9">
        <v>314</v>
      </c>
      <c r="B346" s="9">
        <v>716982.70725594088</v>
      </c>
      <c r="C346" s="9">
        <v>-28614.247255940922</v>
      </c>
    </row>
    <row r="347" spans="1:3">
      <c r="A347" s="9">
        <v>315</v>
      </c>
      <c r="B347" s="9">
        <v>684531.50729288417</v>
      </c>
      <c r="C347" s="9">
        <v>27844.262707115849</v>
      </c>
    </row>
    <row r="348" spans="1:3">
      <c r="A348" s="9">
        <v>316</v>
      </c>
      <c r="B348" s="9">
        <v>811175.03464304109</v>
      </c>
      <c r="C348" s="9">
        <v>33535.635356958956</v>
      </c>
    </row>
    <row r="349" spans="1:3">
      <c r="A349" s="9">
        <v>317</v>
      </c>
      <c r="B349" s="9">
        <v>668023.68819185346</v>
      </c>
      <c r="C349" s="9">
        <v>-47759.48819185351</v>
      </c>
    </row>
    <row r="350" spans="1:3">
      <c r="A350" s="9">
        <v>318</v>
      </c>
      <c r="B350" s="9">
        <v>529198.31267985119</v>
      </c>
      <c r="C350" s="9">
        <v>7647.1073201488471</v>
      </c>
    </row>
    <row r="351" spans="1:3">
      <c r="A351" s="9">
        <v>319</v>
      </c>
      <c r="B351" s="9">
        <v>720569.32689402835</v>
      </c>
      <c r="C351" s="9">
        <v>6206.8931059716269</v>
      </c>
    </row>
    <row r="352" spans="1:3" ht="14.5" thickBot="1">
      <c r="A352" s="10">
        <v>320</v>
      </c>
      <c r="B352" s="10">
        <v>589874.66850261705</v>
      </c>
      <c r="C352" s="10">
        <v>-30213.828502617078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93982-E14D-44C8-BA65-B579800AAC01}">
  <dimension ref="A1:G323"/>
  <sheetViews>
    <sheetView tabSelected="1" workbookViewId="0">
      <selection activeCell="J18" sqref="J18"/>
    </sheetView>
  </sheetViews>
  <sheetFormatPr defaultRowHeight="14"/>
  <cols>
    <col min="1" max="1" width="10.1640625" customWidth="1"/>
    <col min="2" max="2" width="10.1640625" style="14" customWidth="1"/>
    <col min="3" max="3" width="10.1640625" customWidth="1"/>
    <col min="4" max="4" width="12.33203125" customWidth="1"/>
    <col min="5" max="5" width="13.33203125" customWidth="1"/>
    <col min="6" max="6" width="17.1640625" customWidth="1"/>
    <col min="7" max="7" width="10.1640625" customWidth="1"/>
  </cols>
  <sheetData>
    <row r="1" spans="1:7" ht="18">
      <c r="A1" s="8" t="s">
        <v>149</v>
      </c>
    </row>
    <row r="3" spans="1:7">
      <c r="A3" t="s">
        <v>0</v>
      </c>
      <c r="B3" s="14" t="s">
        <v>1</v>
      </c>
      <c r="C3" t="s">
        <v>2</v>
      </c>
      <c r="D3" t="s">
        <v>3</v>
      </c>
      <c r="E3" t="s">
        <v>150</v>
      </c>
      <c r="F3" t="s">
        <v>151</v>
      </c>
      <c r="G3" t="s">
        <v>152</v>
      </c>
    </row>
    <row r="4" spans="1:7">
      <c r="A4" t="str">
        <f>dummy_variable_creation_sheet!A5</f>
        <v>STR-1001</v>
      </c>
      <c r="B4" s="14">
        <f>dummy_variable_creation_sheet!B5</f>
        <v>45748</v>
      </c>
      <c r="C4" t="str">
        <f>dummy_variable_creation_sheet!C5</f>
        <v>East</v>
      </c>
      <c r="D4" t="str">
        <f>dummy_variable_creation_sheet!G5</f>
        <v>Residential</v>
      </c>
      <c r="E4">
        <f>dummy_variable_creation_sheet!S5</f>
        <v>658920.30000000005</v>
      </c>
      <c r="F4">
        <f>multiple_regression_outputs!B36</f>
        <v>756529.95538086782</v>
      </c>
      <c r="G4">
        <f>multiple_regression_outputs!C36</f>
        <v>-97609.655380867771</v>
      </c>
    </row>
    <row r="5" spans="1:7">
      <c r="A5" t="str">
        <f>dummy_variable_creation_sheet!A4</f>
        <v>STR-1001</v>
      </c>
      <c r="B5" s="14">
        <f>dummy_variable_creation_sheet!B4</f>
        <v>45717</v>
      </c>
      <c r="C5" t="str">
        <f>dummy_variable_creation_sheet!C4</f>
        <v>East</v>
      </c>
      <c r="D5" t="str">
        <f>dummy_variable_creation_sheet!G4</f>
        <v>Residential</v>
      </c>
      <c r="E5">
        <f>dummy_variable_creation_sheet!S4</f>
        <v>678722.06</v>
      </c>
      <c r="F5">
        <f>multiple_regression_outputs!B35</f>
        <v>753228.65283852431</v>
      </c>
      <c r="G5">
        <f>multiple_regression_outputs!C35</f>
        <v>-74506.592838524259</v>
      </c>
    </row>
    <row r="6" spans="1:7">
      <c r="A6" t="str">
        <f>dummy_variable_creation_sheet!A3</f>
        <v>STR-1001</v>
      </c>
      <c r="B6" s="14">
        <f>dummy_variable_creation_sheet!B3</f>
        <v>45689</v>
      </c>
      <c r="C6" t="str">
        <f>dummy_variable_creation_sheet!C3</f>
        <v>East</v>
      </c>
      <c r="D6" t="str">
        <f>dummy_variable_creation_sheet!G3</f>
        <v>Residential</v>
      </c>
      <c r="E6">
        <f>dummy_variable_creation_sheet!S3</f>
        <v>634436</v>
      </c>
      <c r="F6">
        <f>multiple_regression_outputs!B34</f>
        <v>700530.92240968777</v>
      </c>
      <c r="G6">
        <f>multiple_regression_outputs!C34</f>
        <v>-66094.922409687773</v>
      </c>
    </row>
    <row r="7" spans="1:7">
      <c r="A7" t="str">
        <f>dummy_variable_creation_sheet!A2</f>
        <v>STR-1001</v>
      </c>
      <c r="B7" s="14">
        <f>dummy_variable_creation_sheet!B2</f>
        <v>45658</v>
      </c>
      <c r="C7" t="str">
        <f>dummy_variable_creation_sheet!C2</f>
        <v>East</v>
      </c>
      <c r="D7" t="str">
        <f>dummy_variable_creation_sheet!G2</f>
        <v>Residential</v>
      </c>
      <c r="E7">
        <f>dummy_variable_creation_sheet!S2</f>
        <v>658832.62</v>
      </c>
      <c r="F7">
        <f>multiple_regression_outputs!B33</f>
        <v>704472.70378583157</v>
      </c>
      <c r="G7">
        <f>multiple_regression_outputs!C33</f>
        <v>-45640.083785831579</v>
      </c>
    </row>
    <row r="8" spans="1:7">
      <c r="A8" t="str">
        <f>dummy_variable_creation_sheet!A6</f>
        <v>STR-1002</v>
      </c>
      <c r="B8" s="14">
        <f>dummy_variable_creation_sheet!B6</f>
        <v>45658</v>
      </c>
      <c r="C8" t="str">
        <f>dummy_variable_creation_sheet!C6</f>
        <v>East</v>
      </c>
      <c r="D8" t="str">
        <f>dummy_variable_creation_sheet!G6</f>
        <v>High Street</v>
      </c>
      <c r="E8">
        <f>dummy_variable_creation_sheet!S6</f>
        <v>741341.44</v>
      </c>
      <c r="F8">
        <f>multiple_regression_outputs!B37</f>
        <v>793970.97680658859</v>
      </c>
      <c r="G8">
        <f>multiple_regression_outputs!C37</f>
        <v>-52629.536806588643</v>
      </c>
    </row>
    <row r="9" spans="1:7">
      <c r="A9" t="str">
        <f>dummy_variable_creation_sheet!A7</f>
        <v>STR-1002</v>
      </c>
      <c r="B9" s="14">
        <f>dummy_variable_creation_sheet!B7</f>
        <v>45689</v>
      </c>
      <c r="C9" t="str">
        <f>dummy_variable_creation_sheet!C7</f>
        <v>East</v>
      </c>
      <c r="D9" t="str">
        <f>dummy_variable_creation_sheet!G7</f>
        <v>High Street</v>
      </c>
      <c r="E9">
        <f>dummy_variable_creation_sheet!S7</f>
        <v>761835.34</v>
      </c>
      <c r="F9">
        <f>multiple_regression_outputs!B38</f>
        <v>788194.05589136085</v>
      </c>
      <c r="G9">
        <f>multiple_regression_outputs!C38</f>
        <v>-26358.715891360887</v>
      </c>
    </row>
    <row r="10" spans="1:7">
      <c r="A10" t="str">
        <f>dummy_variable_creation_sheet!A8</f>
        <v>STR-1002</v>
      </c>
      <c r="B10" s="14">
        <f>dummy_variable_creation_sheet!B8</f>
        <v>45717</v>
      </c>
      <c r="C10" t="str">
        <f>dummy_variable_creation_sheet!C8</f>
        <v>East</v>
      </c>
      <c r="D10" t="str">
        <f>dummy_variable_creation_sheet!G8</f>
        <v>High Street</v>
      </c>
      <c r="E10">
        <f>dummy_variable_creation_sheet!S8</f>
        <v>806615.54</v>
      </c>
      <c r="F10">
        <f>multiple_regression_outputs!B39</f>
        <v>796669.95534917642</v>
      </c>
      <c r="G10">
        <f>multiple_regression_outputs!C39</f>
        <v>9945.5846508236136</v>
      </c>
    </row>
    <row r="11" spans="1:7">
      <c r="A11" t="str">
        <f>dummy_variable_creation_sheet!A9</f>
        <v>STR-1002</v>
      </c>
      <c r="B11" s="14">
        <f>dummy_variable_creation_sheet!B9</f>
        <v>45748</v>
      </c>
      <c r="C11" t="str">
        <f>dummy_variable_creation_sheet!C9</f>
        <v>East</v>
      </c>
      <c r="D11" t="str">
        <f>dummy_variable_creation_sheet!G9</f>
        <v>High Street</v>
      </c>
      <c r="E11">
        <f>dummy_variable_creation_sheet!S9</f>
        <v>850164.26</v>
      </c>
      <c r="F11">
        <f>multiple_regression_outputs!B40</f>
        <v>784174.58994693321</v>
      </c>
      <c r="G11">
        <f>multiple_regression_outputs!C40</f>
        <v>65989.670053066802</v>
      </c>
    </row>
    <row r="12" spans="1:7">
      <c r="A12" t="str">
        <f>dummy_variable_creation_sheet!A12</f>
        <v>STR-1003</v>
      </c>
      <c r="B12" s="14">
        <f>dummy_variable_creation_sheet!B12</f>
        <v>45717</v>
      </c>
      <c r="C12" t="str">
        <f>dummy_variable_creation_sheet!C12</f>
        <v>North</v>
      </c>
      <c r="D12" t="str">
        <f>dummy_variable_creation_sheet!G12</f>
        <v>Airport</v>
      </c>
      <c r="E12">
        <f>dummy_variable_creation_sheet!S12</f>
        <v>723060.76</v>
      </c>
      <c r="F12">
        <f>multiple_regression_outputs!B43</f>
        <v>760003.90291081904</v>
      </c>
      <c r="G12">
        <f>multiple_regression_outputs!C43</f>
        <v>-36943.142910819035</v>
      </c>
    </row>
    <row r="13" spans="1:7">
      <c r="A13" t="str">
        <f>dummy_variable_creation_sheet!A11</f>
        <v>STR-1003</v>
      </c>
      <c r="B13" s="14">
        <f>dummy_variable_creation_sheet!B11</f>
        <v>45689</v>
      </c>
      <c r="C13" t="str">
        <f>dummy_variable_creation_sheet!C11</f>
        <v>North</v>
      </c>
      <c r="D13" t="str">
        <f>dummy_variable_creation_sheet!G11</f>
        <v>Airport</v>
      </c>
      <c r="E13">
        <f>dummy_variable_creation_sheet!S11</f>
        <v>779010.94</v>
      </c>
      <c r="F13">
        <f>multiple_regression_outputs!B42</f>
        <v>798799.06859159912</v>
      </c>
      <c r="G13">
        <f>multiple_regression_outputs!C42</f>
        <v>-19788.128591599176</v>
      </c>
    </row>
    <row r="14" spans="1:7">
      <c r="A14" t="str">
        <f>dummy_variable_creation_sheet!A13</f>
        <v>STR-1003</v>
      </c>
      <c r="B14" s="14">
        <f>dummy_variable_creation_sheet!B13</f>
        <v>45748</v>
      </c>
      <c r="C14" t="str">
        <f>dummy_variable_creation_sheet!C13</f>
        <v>North</v>
      </c>
      <c r="D14" t="str">
        <f>dummy_variable_creation_sheet!G13</f>
        <v>Airport</v>
      </c>
      <c r="E14">
        <f>dummy_variable_creation_sheet!S13</f>
        <v>910791.94</v>
      </c>
      <c r="F14">
        <f>multiple_regression_outputs!B44</f>
        <v>871984.85134946438</v>
      </c>
      <c r="G14">
        <f>multiple_regression_outputs!C44</f>
        <v>38807.088650535559</v>
      </c>
    </row>
    <row r="15" spans="1:7">
      <c r="A15" t="str">
        <f>dummy_variable_creation_sheet!A10</f>
        <v>STR-1003</v>
      </c>
      <c r="B15" s="14">
        <f>dummy_variable_creation_sheet!B10</f>
        <v>45658</v>
      </c>
      <c r="C15" t="str">
        <f>dummy_variable_creation_sheet!C10</f>
        <v>North</v>
      </c>
      <c r="D15" t="str">
        <f>dummy_variable_creation_sheet!G10</f>
        <v>Airport</v>
      </c>
      <c r="E15">
        <f>dummy_variable_creation_sheet!S10</f>
        <v>930581.7</v>
      </c>
      <c r="F15">
        <f>multiple_regression_outputs!B41</f>
        <v>865386.51357413852</v>
      </c>
      <c r="G15">
        <f>multiple_regression_outputs!C41</f>
        <v>65195.186425861437</v>
      </c>
    </row>
    <row r="16" spans="1:7">
      <c r="A16" t="str">
        <f>dummy_variable_creation_sheet!A15</f>
        <v>STR-1004</v>
      </c>
      <c r="B16" s="14">
        <f>dummy_variable_creation_sheet!B15</f>
        <v>45689</v>
      </c>
      <c r="C16" t="str">
        <f>dummy_variable_creation_sheet!C15</f>
        <v>East</v>
      </c>
      <c r="D16" t="str">
        <f>dummy_variable_creation_sheet!G15</f>
        <v>Residential</v>
      </c>
      <c r="E16">
        <f>dummy_variable_creation_sheet!S15</f>
        <v>726606.28</v>
      </c>
      <c r="F16">
        <f>multiple_regression_outputs!B46</f>
        <v>769936.36454632017</v>
      </c>
      <c r="G16">
        <f>multiple_regression_outputs!C46</f>
        <v>-43330.08454632014</v>
      </c>
    </row>
    <row r="17" spans="1:7">
      <c r="A17" t="str">
        <f>dummy_variable_creation_sheet!A16</f>
        <v>STR-1004</v>
      </c>
      <c r="B17" s="14">
        <f>dummy_variable_creation_sheet!B16</f>
        <v>45717</v>
      </c>
      <c r="C17" t="str">
        <f>dummy_variable_creation_sheet!C16</f>
        <v>East</v>
      </c>
      <c r="D17" t="str">
        <f>dummy_variable_creation_sheet!G16</f>
        <v>Residential</v>
      </c>
      <c r="E17">
        <f>dummy_variable_creation_sheet!S16</f>
        <v>746501.09</v>
      </c>
      <c r="F17">
        <f>multiple_regression_outputs!B47</f>
        <v>742679.02682340774</v>
      </c>
      <c r="G17">
        <f>multiple_regression_outputs!C47</f>
        <v>3822.0631765922299</v>
      </c>
    </row>
    <row r="18" spans="1:7">
      <c r="A18" t="str">
        <f>dummy_variable_creation_sheet!A17</f>
        <v>STR-1004</v>
      </c>
      <c r="B18" s="14">
        <f>dummy_variable_creation_sheet!B17</f>
        <v>45748</v>
      </c>
      <c r="C18" t="str">
        <f>dummy_variable_creation_sheet!C17</f>
        <v>East</v>
      </c>
      <c r="D18" t="str">
        <f>dummy_variable_creation_sheet!G17</f>
        <v>Residential</v>
      </c>
      <c r="E18">
        <f>dummy_variable_creation_sheet!S17</f>
        <v>834017.02</v>
      </c>
      <c r="F18">
        <f>multiple_regression_outputs!B48</f>
        <v>805632.60930902697</v>
      </c>
      <c r="G18">
        <f>multiple_regression_outputs!C48</f>
        <v>28384.410690973047</v>
      </c>
    </row>
    <row r="19" spans="1:7">
      <c r="A19" t="str">
        <f>dummy_variable_creation_sheet!A14</f>
        <v>STR-1004</v>
      </c>
      <c r="B19" s="14">
        <f>dummy_variable_creation_sheet!B14</f>
        <v>45658</v>
      </c>
      <c r="C19" t="str">
        <f>dummy_variable_creation_sheet!C14</f>
        <v>East</v>
      </c>
      <c r="D19" t="str">
        <f>dummy_variable_creation_sheet!G14</f>
        <v>Residential</v>
      </c>
      <c r="E19">
        <f>dummy_variable_creation_sheet!S14</f>
        <v>922168.6</v>
      </c>
      <c r="F19">
        <f>multiple_regression_outputs!B45</f>
        <v>872478.77795495186</v>
      </c>
      <c r="G19">
        <f>multiple_regression_outputs!C45</f>
        <v>49689.822045048117</v>
      </c>
    </row>
    <row r="20" spans="1:7">
      <c r="A20" t="str">
        <f>dummy_variable_creation_sheet!A19</f>
        <v>STR-1005</v>
      </c>
      <c r="B20" s="14">
        <f>dummy_variable_creation_sheet!B19</f>
        <v>45689</v>
      </c>
      <c r="C20" t="str">
        <f>dummy_variable_creation_sheet!C19</f>
        <v>South</v>
      </c>
      <c r="D20" t="str">
        <f>dummy_variable_creation_sheet!G19</f>
        <v>Residential</v>
      </c>
      <c r="E20">
        <f>dummy_variable_creation_sheet!S19</f>
        <v>573155.18999999994</v>
      </c>
      <c r="F20">
        <f>multiple_regression_outputs!B50</f>
        <v>588643.82017843798</v>
      </c>
      <c r="G20">
        <f>multiple_regression_outputs!C50</f>
        <v>-15488.630178438034</v>
      </c>
    </row>
    <row r="21" spans="1:7">
      <c r="A21" t="str">
        <f>dummy_variable_creation_sheet!A20</f>
        <v>STR-1005</v>
      </c>
      <c r="B21" s="14">
        <f>dummy_variable_creation_sheet!B20</f>
        <v>45717</v>
      </c>
      <c r="C21" t="str">
        <f>dummy_variable_creation_sheet!C20</f>
        <v>South</v>
      </c>
      <c r="D21" t="str">
        <f>dummy_variable_creation_sheet!G20</f>
        <v>Residential</v>
      </c>
      <c r="E21">
        <f>dummy_variable_creation_sheet!S20</f>
        <v>666573.19999999995</v>
      </c>
      <c r="F21">
        <f>multiple_regression_outputs!B51</f>
        <v>681060.90327983326</v>
      </c>
      <c r="G21">
        <f>multiple_regression_outputs!C51</f>
        <v>-14487.703279833309</v>
      </c>
    </row>
    <row r="22" spans="1:7">
      <c r="A22" t="str">
        <f>dummy_variable_creation_sheet!A18</f>
        <v>STR-1005</v>
      </c>
      <c r="B22" s="14">
        <f>dummy_variable_creation_sheet!B18</f>
        <v>45658</v>
      </c>
      <c r="C22" t="str">
        <f>dummy_variable_creation_sheet!C18</f>
        <v>South</v>
      </c>
      <c r="D22" t="str">
        <f>dummy_variable_creation_sheet!G18</f>
        <v>Residential</v>
      </c>
      <c r="E22">
        <f>dummy_variable_creation_sheet!S18</f>
        <v>666152.52</v>
      </c>
      <c r="F22">
        <f>multiple_regression_outputs!B49</f>
        <v>677698.73809559247</v>
      </c>
      <c r="G22">
        <f>multiple_regression_outputs!C49</f>
        <v>-11546.218095592456</v>
      </c>
    </row>
    <row r="23" spans="1:7">
      <c r="A23" t="str">
        <f>dummy_variable_creation_sheet!A21</f>
        <v>STR-1005</v>
      </c>
      <c r="B23" s="14">
        <f>dummy_variable_creation_sheet!B21</f>
        <v>45748</v>
      </c>
      <c r="C23" t="str">
        <f>dummy_variable_creation_sheet!C21</f>
        <v>South</v>
      </c>
      <c r="D23" t="str">
        <f>dummy_variable_creation_sheet!G21</f>
        <v>Residential</v>
      </c>
      <c r="E23">
        <f>dummy_variable_creation_sheet!S21</f>
        <v>591619.94999999995</v>
      </c>
      <c r="F23">
        <f>multiple_regression_outputs!B52</f>
        <v>588111.49934926373</v>
      </c>
      <c r="G23">
        <f>multiple_regression_outputs!C52</f>
        <v>3508.4506507362239</v>
      </c>
    </row>
    <row r="24" spans="1:7">
      <c r="A24" t="str">
        <f>dummy_variable_creation_sheet!A22</f>
        <v>STR-1006</v>
      </c>
      <c r="B24" s="14">
        <f>dummy_variable_creation_sheet!B22</f>
        <v>45658</v>
      </c>
      <c r="C24" t="str">
        <f>dummy_variable_creation_sheet!C22</f>
        <v>North</v>
      </c>
      <c r="D24" t="str">
        <f>dummy_variable_creation_sheet!G22</f>
        <v>Residential</v>
      </c>
      <c r="E24">
        <f>dummy_variable_creation_sheet!S22</f>
        <v>415721.82</v>
      </c>
      <c r="F24">
        <f>multiple_regression_outputs!B53</f>
        <v>491609.46933480375</v>
      </c>
      <c r="G24">
        <f>multiple_regression_outputs!C53</f>
        <v>-75887.649334803747</v>
      </c>
    </row>
    <row r="25" spans="1:7">
      <c r="A25" t="str">
        <f>dummy_variable_creation_sheet!A23</f>
        <v>STR-1006</v>
      </c>
      <c r="B25" s="14">
        <f>dummy_variable_creation_sheet!B23</f>
        <v>45689</v>
      </c>
      <c r="C25" t="str">
        <f>dummy_variable_creation_sheet!C23</f>
        <v>North</v>
      </c>
      <c r="D25" t="str">
        <f>dummy_variable_creation_sheet!G23</f>
        <v>Residential</v>
      </c>
      <c r="E25">
        <f>dummy_variable_creation_sheet!S23</f>
        <v>491905.13</v>
      </c>
      <c r="F25">
        <f>multiple_regression_outputs!B54</f>
        <v>486041.77788711071</v>
      </c>
      <c r="G25">
        <f>multiple_regression_outputs!C54</f>
        <v>5863.3521128892899</v>
      </c>
    </row>
    <row r="26" spans="1:7">
      <c r="A26" t="str">
        <f>dummy_variable_creation_sheet!A25</f>
        <v>STR-1006</v>
      </c>
      <c r="B26" s="14">
        <f>dummy_variable_creation_sheet!B25</f>
        <v>45748</v>
      </c>
      <c r="C26" t="str">
        <f>dummy_variable_creation_sheet!C25</f>
        <v>North</v>
      </c>
      <c r="D26" t="str">
        <f>dummy_variable_creation_sheet!G25</f>
        <v>Residential</v>
      </c>
      <c r="E26">
        <f>dummy_variable_creation_sheet!S25</f>
        <v>565810.99</v>
      </c>
      <c r="F26">
        <f>multiple_regression_outputs!B56</f>
        <v>544317.11227921979</v>
      </c>
      <c r="G26">
        <f>multiple_regression_outputs!C56</f>
        <v>21493.877720780205</v>
      </c>
    </row>
    <row r="27" spans="1:7">
      <c r="A27" t="str">
        <f>dummy_variable_creation_sheet!A24</f>
        <v>STR-1006</v>
      </c>
      <c r="B27" s="14">
        <f>dummy_variable_creation_sheet!B24</f>
        <v>45717</v>
      </c>
      <c r="C27" t="str">
        <f>dummy_variable_creation_sheet!C24</f>
        <v>North</v>
      </c>
      <c r="D27" t="str">
        <f>dummy_variable_creation_sheet!G24</f>
        <v>Residential</v>
      </c>
      <c r="E27">
        <f>dummy_variable_creation_sheet!S24</f>
        <v>555929.4</v>
      </c>
      <c r="F27">
        <f>multiple_regression_outputs!B55</f>
        <v>519517.89739733736</v>
      </c>
      <c r="G27">
        <f>multiple_regression_outputs!C55</f>
        <v>36411.502602662658</v>
      </c>
    </row>
    <row r="28" spans="1:7">
      <c r="A28" t="str">
        <f>dummy_variable_creation_sheet!A27</f>
        <v>STR-1007</v>
      </c>
      <c r="B28" s="14">
        <f>dummy_variable_creation_sheet!B27</f>
        <v>45689</v>
      </c>
      <c r="C28" t="str">
        <f>dummy_variable_creation_sheet!C27</f>
        <v>West</v>
      </c>
      <c r="D28" t="str">
        <f>dummy_variable_creation_sheet!G27</f>
        <v>Mall</v>
      </c>
      <c r="E28">
        <f>dummy_variable_creation_sheet!S27</f>
        <v>800451.94</v>
      </c>
      <c r="F28">
        <f>multiple_regression_outputs!B58</f>
        <v>900272.4812077604</v>
      </c>
      <c r="G28">
        <f>multiple_regression_outputs!C58</f>
        <v>-99820.541207760456</v>
      </c>
    </row>
    <row r="29" spans="1:7">
      <c r="A29" t="str">
        <f>dummy_variable_creation_sheet!A26</f>
        <v>STR-1007</v>
      </c>
      <c r="B29" s="14">
        <f>dummy_variable_creation_sheet!B26</f>
        <v>45658</v>
      </c>
      <c r="C29" t="str">
        <f>dummy_variable_creation_sheet!C26</f>
        <v>West</v>
      </c>
      <c r="D29" t="str">
        <f>dummy_variable_creation_sheet!G26</f>
        <v>Mall</v>
      </c>
      <c r="E29">
        <f>dummy_variable_creation_sheet!S26</f>
        <v>811771.14</v>
      </c>
      <c r="F29">
        <f>multiple_regression_outputs!B57</f>
        <v>836959.02056917781</v>
      </c>
      <c r="G29">
        <f>multiple_regression_outputs!C57</f>
        <v>-25187.880569177796</v>
      </c>
    </row>
    <row r="30" spans="1:7">
      <c r="A30" t="str">
        <f>dummy_variable_creation_sheet!A28</f>
        <v>STR-1007</v>
      </c>
      <c r="B30" s="14">
        <f>dummy_variable_creation_sheet!B28</f>
        <v>45717</v>
      </c>
      <c r="C30" t="str">
        <f>dummy_variable_creation_sheet!C28</f>
        <v>West</v>
      </c>
      <c r="D30" t="str">
        <f>dummy_variable_creation_sheet!G28</f>
        <v>Mall</v>
      </c>
      <c r="E30">
        <f>dummy_variable_creation_sheet!S28</f>
        <v>783672.82</v>
      </c>
      <c r="F30">
        <f>multiple_regression_outputs!B59</f>
        <v>792200.71259510377</v>
      </c>
      <c r="G30">
        <f>multiple_regression_outputs!C59</f>
        <v>-8527.8925951038254</v>
      </c>
    </row>
    <row r="31" spans="1:7">
      <c r="A31" t="str">
        <f>dummy_variable_creation_sheet!A29</f>
        <v>STR-1007</v>
      </c>
      <c r="B31" s="14">
        <f>dummy_variable_creation_sheet!B29</f>
        <v>45748</v>
      </c>
      <c r="C31" t="str">
        <f>dummy_variable_creation_sheet!C29</f>
        <v>West</v>
      </c>
      <c r="D31" t="str">
        <f>dummy_variable_creation_sheet!G29</f>
        <v>Mall</v>
      </c>
      <c r="E31">
        <f>dummy_variable_creation_sheet!S29</f>
        <v>701641.97</v>
      </c>
      <c r="F31">
        <f>multiple_regression_outputs!B60</f>
        <v>698456.52440522797</v>
      </c>
      <c r="G31">
        <f>multiple_regression_outputs!C60</f>
        <v>3185.445594771998</v>
      </c>
    </row>
    <row r="32" spans="1:7">
      <c r="A32" t="str">
        <f>dummy_variable_creation_sheet!A30</f>
        <v>STR-1008</v>
      </c>
      <c r="B32" s="14">
        <f>dummy_variable_creation_sheet!B30</f>
        <v>45658</v>
      </c>
      <c r="C32" t="str">
        <f>dummy_variable_creation_sheet!C30</f>
        <v>East</v>
      </c>
      <c r="D32" t="str">
        <f>dummy_variable_creation_sheet!G30</f>
        <v>Residential</v>
      </c>
      <c r="E32">
        <f>dummy_variable_creation_sheet!S30</f>
        <v>511844.41</v>
      </c>
      <c r="F32">
        <f>multiple_regression_outputs!B61</f>
        <v>582340.43910327763</v>
      </c>
      <c r="G32">
        <f>multiple_regression_outputs!C61</f>
        <v>-70496.029103277659</v>
      </c>
    </row>
    <row r="33" spans="1:7">
      <c r="A33" t="str">
        <f>dummy_variable_creation_sheet!A33</f>
        <v>STR-1008</v>
      </c>
      <c r="B33" s="14">
        <f>dummy_variable_creation_sheet!B33</f>
        <v>45748</v>
      </c>
      <c r="C33" t="str">
        <f>dummy_variable_creation_sheet!C33</f>
        <v>East</v>
      </c>
      <c r="D33" t="str">
        <f>dummy_variable_creation_sheet!G33</f>
        <v>Residential</v>
      </c>
      <c r="E33">
        <f>dummy_variable_creation_sheet!S33</f>
        <v>427917.38</v>
      </c>
      <c r="F33">
        <f>multiple_regression_outputs!B64</f>
        <v>494305.19743863761</v>
      </c>
      <c r="G33">
        <f>multiple_regression_outputs!C64</f>
        <v>-66387.817438637605</v>
      </c>
    </row>
    <row r="34" spans="1:7">
      <c r="A34" t="str">
        <f>dummy_variable_creation_sheet!A32</f>
        <v>STR-1008</v>
      </c>
      <c r="B34" s="14">
        <f>dummy_variable_creation_sheet!B32</f>
        <v>45717</v>
      </c>
      <c r="C34" t="str">
        <f>dummy_variable_creation_sheet!C32</f>
        <v>East</v>
      </c>
      <c r="D34" t="str">
        <f>dummy_variable_creation_sheet!G32</f>
        <v>Residential</v>
      </c>
      <c r="E34">
        <f>dummy_variable_creation_sheet!S32</f>
        <v>500173.02</v>
      </c>
      <c r="F34">
        <f>multiple_regression_outputs!B63</f>
        <v>510826.36847154808</v>
      </c>
      <c r="G34">
        <f>multiple_regression_outputs!C63</f>
        <v>-10653.348471548059</v>
      </c>
    </row>
    <row r="35" spans="1:7">
      <c r="A35" t="str">
        <f>dummy_variable_creation_sheet!A31</f>
        <v>STR-1008</v>
      </c>
      <c r="B35" s="14">
        <f>dummy_variable_creation_sheet!B31</f>
        <v>45689</v>
      </c>
      <c r="C35" t="str">
        <f>dummy_variable_creation_sheet!C31</f>
        <v>East</v>
      </c>
      <c r="D35" t="str">
        <f>dummy_variable_creation_sheet!G31</f>
        <v>Residential</v>
      </c>
      <c r="E35">
        <f>dummy_variable_creation_sheet!S31</f>
        <v>537383.79</v>
      </c>
      <c r="F35">
        <f>multiple_regression_outputs!B62</f>
        <v>524305.48948655371</v>
      </c>
      <c r="G35">
        <f>multiple_regression_outputs!C62</f>
        <v>13078.300513446331</v>
      </c>
    </row>
    <row r="36" spans="1:7">
      <c r="A36" t="str">
        <f>dummy_variable_creation_sheet!A34</f>
        <v>STR-1009</v>
      </c>
      <c r="B36" s="14">
        <f>dummy_variable_creation_sheet!B34</f>
        <v>45658</v>
      </c>
      <c r="C36" t="str">
        <f>dummy_variable_creation_sheet!C34</f>
        <v>North</v>
      </c>
      <c r="D36" t="str">
        <f>dummy_variable_creation_sheet!G34</f>
        <v>Residential</v>
      </c>
      <c r="E36">
        <f>dummy_variable_creation_sheet!S34</f>
        <v>641865.03</v>
      </c>
      <c r="F36">
        <f>multiple_regression_outputs!B65</f>
        <v>740315.34947137744</v>
      </c>
      <c r="G36">
        <f>multiple_regression_outputs!C65</f>
        <v>-98450.319471377414</v>
      </c>
    </row>
    <row r="37" spans="1:7">
      <c r="A37" t="str">
        <f>dummy_variable_creation_sheet!A35</f>
        <v>STR-1009</v>
      </c>
      <c r="B37" s="14">
        <f>dummy_variable_creation_sheet!B35</f>
        <v>45689</v>
      </c>
      <c r="C37" t="str">
        <f>dummy_variable_creation_sheet!C35</f>
        <v>North</v>
      </c>
      <c r="D37" t="str">
        <f>dummy_variable_creation_sheet!G35</f>
        <v>Residential</v>
      </c>
      <c r="E37">
        <f>dummy_variable_creation_sheet!S35</f>
        <v>799477.76000000001</v>
      </c>
      <c r="F37">
        <f>multiple_regression_outputs!B66</f>
        <v>850100.47514859866</v>
      </c>
      <c r="G37">
        <f>multiple_regression_outputs!C66</f>
        <v>-50622.715148598654</v>
      </c>
    </row>
    <row r="38" spans="1:7">
      <c r="A38" t="str">
        <f>dummy_variable_creation_sheet!A37</f>
        <v>STR-1009</v>
      </c>
      <c r="B38" s="14">
        <f>dummy_variable_creation_sheet!B37</f>
        <v>45748</v>
      </c>
      <c r="C38" t="str">
        <f>dummy_variable_creation_sheet!C37</f>
        <v>North</v>
      </c>
      <c r="D38" t="str">
        <f>dummy_variable_creation_sheet!G37</f>
        <v>Residential</v>
      </c>
      <c r="E38">
        <f>dummy_variable_creation_sheet!S37</f>
        <v>800979.78</v>
      </c>
      <c r="F38">
        <f>multiple_regression_outputs!B68</f>
        <v>815966.22314574732</v>
      </c>
      <c r="G38">
        <f>multiple_regression_outputs!C68</f>
        <v>-14986.443145747297</v>
      </c>
    </row>
    <row r="39" spans="1:7">
      <c r="A39" t="str">
        <f>dummy_variable_creation_sheet!A36</f>
        <v>STR-1009</v>
      </c>
      <c r="B39" s="14">
        <f>dummy_variable_creation_sheet!B36</f>
        <v>45717</v>
      </c>
      <c r="C39" t="str">
        <f>dummy_variable_creation_sheet!C36</f>
        <v>North</v>
      </c>
      <c r="D39" t="str">
        <f>dummy_variable_creation_sheet!G36</f>
        <v>Residential</v>
      </c>
      <c r="E39">
        <f>dummy_variable_creation_sheet!S36</f>
        <v>798952.17</v>
      </c>
      <c r="F39">
        <f>multiple_regression_outputs!B67</f>
        <v>799273.82628476666</v>
      </c>
      <c r="G39">
        <f>multiple_regression_outputs!C67</f>
        <v>-321.65628476662096</v>
      </c>
    </row>
    <row r="40" spans="1:7">
      <c r="A40" t="str">
        <f>dummy_variable_creation_sheet!A39</f>
        <v>STR-1010</v>
      </c>
      <c r="B40" s="14">
        <f>dummy_variable_creation_sheet!B39</f>
        <v>45689</v>
      </c>
      <c r="C40" t="str">
        <f>dummy_variable_creation_sheet!C39</f>
        <v>North</v>
      </c>
      <c r="D40" t="str">
        <f>dummy_variable_creation_sheet!G39</f>
        <v>Mall</v>
      </c>
      <c r="E40">
        <f>dummy_variable_creation_sheet!S39</f>
        <v>718330.53</v>
      </c>
      <c r="F40">
        <f>multiple_regression_outputs!B70</f>
        <v>763914.5254945925</v>
      </c>
      <c r="G40">
        <f>multiple_regression_outputs!C70</f>
        <v>-45583.995494592469</v>
      </c>
    </row>
    <row r="41" spans="1:7">
      <c r="A41" t="str">
        <f>dummy_variable_creation_sheet!A40</f>
        <v>STR-1010</v>
      </c>
      <c r="B41" s="14">
        <f>dummy_variable_creation_sheet!B40</f>
        <v>45717</v>
      </c>
      <c r="C41" t="str">
        <f>dummy_variable_creation_sheet!C40</f>
        <v>North</v>
      </c>
      <c r="D41" t="str">
        <f>dummy_variable_creation_sheet!G40</f>
        <v>Mall</v>
      </c>
      <c r="E41">
        <f>dummy_variable_creation_sheet!S40</f>
        <v>736633.4</v>
      </c>
      <c r="F41">
        <f>multiple_regression_outputs!B71</f>
        <v>748885.3441231983</v>
      </c>
      <c r="G41">
        <f>multiple_regression_outputs!C71</f>
        <v>-12251.944123198278</v>
      </c>
    </row>
    <row r="42" spans="1:7">
      <c r="A42" t="str">
        <f>dummy_variable_creation_sheet!A41</f>
        <v>STR-1010</v>
      </c>
      <c r="B42" s="14">
        <f>dummy_variable_creation_sheet!B41</f>
        <v>45748</v>
      </c>
      <c r="C42" t="str">
        <f>dummy_variable_creation_sheet!C41</f>
        <v>North</v>
      </c>
      <c r="D42" t="str">
        <f>dummy_variable_creation_sheet!G41</f>
        <v>Mall</v>
      </c>
      <c r="E42">
        <f>dummy_variable_creation_sheet!S41</f>
        <v>828623.85</v>
      </c>
      <c r="F42">
        <f>multiple_regression_outputs!B72</f>
        <v>837238.58706204942</v>
      </c>
      <c r="G42">
        <f>multiple_regression_outputs!C72</f>
        <v>-8614.7370620494476</v>
      </c>
    </row>
    <row r="43" spans="1:7">
      <c r="A43" t="str">
        <f>dummy_variable_creation_sheet!A38</f>
        <v>STR-1010</v>
      </c>
      <c r="B43" s="14">
        <f>dummy_variable_creation_sheet!B38</f>
        <v>45658</v>
      </c>
      <c r="C43" t="str">
        <f>dummy_variable_creation_sheet!C38</f>
        <v>North</v>
      </c>
      <c r="D43" t="str">
        <f>dummy_variable_creation_sheet!G38</f>
        <v>Mall</v>
      </c>
      <c r="E43">
        <f>dummy_variable_creation_sheet!S38</f>
        <v>820593.93</v>
      </c>
      <c r="F43">
        <f>multiple_regression_outputs!B69</f>
        <v>777578.27247364225</v>
      </c>
      <c r="G43">
        <f>multiple_regression_outputs!C69</f>
        <v>43015.657526357798</v>
      </c>
    </row>
    <row r="44" spans="1:7">
      <c r="A44" t="str">
        <f>dummy_variable_creation_sheet!A45</f>
        <v>STR-1011</v>
      </c>
      <c r="B44" s="14">
        <f>dummy_variable_creation_sheet!B45</f>
        <v>45748</v>
      </c>
      <c r="C44" t="str">
        <f>dummy_variable_creation_sheet!C45</f>
        <v>East</v>
      </c>
      <c r="D44" t="str">
        <f>dummy_variable_creation_sheet!G45</f>
        <v>Mall</v>
      </c>
      <c r="E44">
        <f>dummy_variable_creation_sheet!S45</f>
        <v>605178</v>
      </c>
      <c r="F44">
        <f>multiple_regression_outputs!B76</f>
        <v>608958.03696520114</v>
      </c>
      <c r="G44">
        <f>multiple_regression_outputs!C76</f>
        <v>-3780.0369652011432</v>
      </c>
    </row>
    <row r="45" spans="1:7">
      <c r="A45" t="str">
        <f>dummy_variable_creation_sheet!A42</f>
        <v>STR-1011</v>
      </c>
      <c r="B45" s="14">
        <f>dummy_variable_creation_sheet!B42</f>
        <v>45658</v>
      </c>
      <c r="C45" t="str">
        <f>dummy_variable_creation_sheet!C42</f>
        <v>East</v>
      </c>
      <c r="D45" t="str">
        <f>dummy_variable_creation_sheet!G42</f>
        <v>Mall</v>
      </c>
      <c r="E45">
        <f>dummy_variable_creation_sheet!S42</f>
        <v>592195.85</v>
      </c>
      <c r="F45">
        <f>multiple_regression_outputs!B73</f>
        <v>591587.1988161325</v>
      </c>
      <c r="G45">
        <f>multiple_regression_outputs!C73</f>
        <v>608.65118386747781</v>
      </c>
    </row>
    <row r="46" spans="1:7">
      <c r="A46" t="str">
        <f>dummy_variable_creation_sheet!A43</f>
        <v>STR-1011</v>
      </c>
      <c r="B46" s="14">
        <f>dummy_variable_creation_sheet!B43</f>
        <v>45689</v>
      </c>
      <c r="C46" t="str">
        <f>dummy_variable_creation_sheet!C43</f>
        <v>East</v>
      </c>
      <c r="D46" t="str">
        <f>dummy_variable_creation_sheet!G43</f>
        <v>Mall</v>
      </c>
      <c r="E46">
        <f>dummy_variable_creation_sheet!S43</f>
        <v>532644.46</v>
      </c>
      <c r="F46">
        <f>multiple_regression_outputs!B74</f>
        <v>528603.68258870672</v>
      </c>
      <c r="G46">
        <f>multiple_regression_outputs!C74</f>
        <v>4040.7774112932384</v>
      </c>
    </row>
    <row r="47" spans="1:7">
      <c r="A47" t="str">
        <f>dummy_variable_creation_sheet!A44</f>
        <v>STR-1011</v>
      </c>
      <c r="B47" s="14">
        <f>dummy_variable_creation_sheet!B44</f>
        <v>45717</v>
      </c>
      <c r="C47" t="str">
        <f>dummy_variable_creation_sheet!C44</f>
        <v>East</v>
      </c>
      <c r="D47" t="str">
        <f>dummy_variable_creation_sheet!G44</f>
        <v>Mall</v>
      </c>
      <c r="E47">
        <f>dummy_variable_creation_sheet!S44</f>
        <v>657429.18000000005</v>
      </c>
      <c r="F47">
        <f>multiple_regression_outputs!B75</f>
        <v>597967.00120969303</v>
      </c>
      <c r="G47">
        <f>multiple_regression_outputs!C75</f>
        <v>59462.178790307022</v>
      </c>
    </row>
    <row r="48" spans="1:7">
      <c r="A48" t="str">
        <f>dummy_variable_creation_sheet!A46</f>
        <v>STR-1012</v>
      </c>
      <c r="B48" s="14">
        <f>dummy_variable_creation_sheet!B46</f>
        <v>45658</v>
      </c>
      <c r="C48" t="str">
        <f>dummy_variable_creation_sheet!C46</f>
        <v>West</v>
      </c>
      <c r="D48" t="str">
        <f>dummy_variable_creation_sheet!G46</f>
        <v>Residential</v>
      </c>
      <c r="E48">
        <f>dummy_variable_creation_sheet!S46</f>
        <v>595467.6</v>
      </c>
      <c r="F48">
        <f>multiple_regression_outputs!B77</f>
        <v>716546.49151356809</v>
      </c>
      <c r="G48">
        <f>multiple_regression_outputs!C77</f>
        <v>-121078.89151356812</v>
      </c>
    </row>
    <row r="49" spans="1:7">
      <c r="A49" t="str">
        <f>dummy_variable_creation_sheet!A47</f>
        <v>STR-1012</v>
      </c>
      <c r="B49" s="14">
        <f>dummy_variable_creation_sheet!B47</f>
        <v>45689</v>
      </c>
      <c r="C49" t="str">
        <f>dummy_variable_creation_sheet!C47</f>
        <v>West</v>
      </c>
      <c r="D49" t="str">
        <f>dummy_variable_creation_sheet!G47</f>
        <v>Residential</v>
      </c>
      <c r="E49">
        <f>dummy_variable_creation_sheet!S47</f>
        <v>599603.4</v>
      </c>
      <c r="F49">
        <f>multiple_regression_outputs!B78</f>
        <v>626713.1125391617</v>
      </c>
      <c r="G49">
        <f>multiple_regression_outputs!C78</f>
        <v>-27109.712539161672</v>
      </c>
    </row>
    <row r="50" spans="1:7">
      <c r="A50" t="str">
        <f>dummy_variable_creation_sheet!A49</f>
        <v>STR-1012</v>
      </c>
      <c r="B50" s="14">
        <f>dummy_variable_creation_sheet!B49</f>
        <v>45748</v>
      </c>
      <c r="C50" t="str">
        <f>dummy_variable_creation_sheet!C49</f>
        <v>West</v>
      </c>
      <c r="D50" t="str">
        <f>dummy_variable_creation_sheet!G49</f>
        <v>Residential</v>
      </c>
      <c r="E50">
        <f>dummy_variable_creation_sheet!S49</f>
        <v>585365.73</v>
      </c>
      <c r="F50">
        <f>multiple_regression_outputs!B80</f>
        <v>561519.15521425055</v>
      </c>
      <c r="G50">
        <f>multiple_regression_outputs!C80</f>
        <v>23846.574785749428</v>
      </c>
    </row>
    <row r="51" spans="1:7">
      <c r="A51" t="str">
        <f>dummy_variable_creation_sheet!A48</f>
        <v>STR-1012</v>
      </c>
      <c r="B51" s="14">
        <f>dummy_variable_creation_sheet!B48</f>
        <v>45717</v>
      </c>
      <c r="C51" t="str">
        <f>dummy_variable_creation_sheet!C48</f>
        <v>West</v>
      </c>
      <c r="D51" t="str">
        <f>dummy_variable_creation_sheet!G48</f>
        <v>Residential</v>
      </c>
      <c r="E51">
        <f>dummy_variable_creation_sheet!S48</f>
        <v>614800.09</v>
      </c>
      <c r="F51">
        <f>multiple_regression_outputs!B79</f>
        <v>572873.35469405807</v>
      </c>
      <c r="G51">
        <f>multiple_regression_outputs!C79</f>
        <v>41926.735305941897</v>
      </c>
    </row>
    <row r="52" spans="1:7">
      <c r="A52" t="str">
        <f>dummy_variable_creation_sheet!A50</f>
        <v>STR-1013</v>
      </c>
      <c r="B52" s="14">
        <f>dummy_variable_creation_sheet!B50</f>
        <v>45658</v>
      </c>
      <c r="C52" t="str">
        <f>dummy_variable_creation_sheet!C50</f>
        <v>North</v>
      </c>
      <c r="D52" t="str">
        <f>dummy_variable_creation_sheet!G50</f>
        <v>Mall</v>
      </c>
      <c r="E52">
        <f>dummy_variable_creation_sheet!S50</f>
        <v>622811.74</v>
      </c>
      <c r="F52">
        <f>multiple_regression_outputs!B81</f>
        <v>660104.20872874511</v>
      </c>
      <c r="G52">
        <f>multiple_regression_outputs!C81</f>
        <v>-37292.468728745123</v>
      </c>
    </row>
    <row r="53" spans="1:7">
      <c r="A53" t="str">
        <f>dummy_variable_creation_sheet!A52</f>
        <v>STR-1013</v>
      </c>
      <c r="B53" s="14">
        <f>dummy_variable_creation_sheet!B52</f>
        <v>45717</v>
      </c>
      <c r="C53" t="str">
        <f>dummy_variable_creation_sheet!C52</f>
        <v>North</v>
      </c>
      <c r="D53" t="str">
        <f>dummy_variable_creation_sheet!G52</f>
        <v>Mall</v>
      </c>
      <c r="E53">
        <f>dummy_variable_creation_sheet!S52</f>
        <v>625672.86</v>
      </c>
      <c r="F53">
        <f>multiple_regression_outputs!B83</f>
        <v>618822.71258491103</v>
      </c>
      <c r="G53">
        <f>multiple_regression_outputs!C83</f>
        <v>6850.1474150889553</v>
      </c>
    </row>
    <row r="54" spans="1:7">
      <c r="A54" t="str">
        <f>dummy_variable_creation_sheet!A51</f>
        <v>STR-1013</v>
      </c>
      <c r="B54" s="14">
        <f>dummy_variable_creation_sheet!B51</f>
        <v>45689</v>
      </c>
      <c r="C54" t="str">
        <f>dummy_variable_creation_sheet!C51</f>
        <v>North</v>
      </c>
      <c r="D54" t="str">
        <f>dummy_variable_creation_sheet!G51</f>
        <v>Mall</v>
      </c>
      <c r="E54">
        <f>dummy_variable_creation_sheet!S51</f>
        <v>603297.56999999995</v>
      </c>
      <c r="F54">
        <f>multiple_regression_outputs!B82</f>
        <v>593664.68890818791</v>
      </c>
      <c r="G54">
        <f>multiple_regression_outputs!C82</f>
        <v>9632.8810918120435</v>
      </c>
    </row>
    <row r="55" spans="1:7">
      <c r="A55" t="str">
        <f>dummy_variable_creation_sheet!A53</f>
        <v>STR-1013</v>
      </c>
      <c r="B55" s="14">
        <f>dummy_variable_creation_sheet!B53</f>
        <v>45748</v>
      </c>
      <c r="C55" t="str">
        <f>dummy_variable_creation_sheet!C53</f>
        <v>North</v>
      </c>
      <c r="D55" t="str">
        <f>dummy_variable_creation_sheet!G53</f>
        <v>Mall</v>
      </c>
      <c r="E55">
        <f>dummy_variable_creation_sheet!S53</f>
        <v>773815.14</v>
      </c>
      <c r="F55">
        <f>multiple_regression_outputs!B84</f>
        <v>744747.76097909245</v>
      </c>
      <c r="G55">
        <f>multiple_regression_outputs!C84</f>
        <v>29067.379020907567</v>
      </c>
    </row>
    <row r="56" spans="1:7">
      <c r="A56" t="str">
        <f>dummy_variable_creation_sheet!A54</f>
        <v>STR-1014</v>
      </c>
      <c r="B56" s="14">
        <f>dummy_variable_creation_sheet!B54</f>
        <v>45658</v>
      </c>
      <c r="C56" t="str">
        <f>dummy_variable_creation_sheet!C54</f>
        <v>West</v>
      </c>
      <c r="D56" t="str">
        <f>dummy_variable_creation_sheet!G54</f>
        <v>High Street</v>
      </c>
      <c r="E56">
        <f>dummy_variable_creation_sheet!S54</f>
        <v>463534.25</v>
      </c>
      <c r="F56">
        <f>multiple_regression_outputs!B85</f>
        <v>556963.06267765979</v>
      </c>
      <c r="G56">
        <f>multiple_regression_outputs!C85</f>
        <v>-93428.812677659793</v>
      </c>
    </row>
    <row r="57" spans="1:7">
      <c r="A57" t="str">
        <f>dummy_variable_creation_sheet!A57</f>
        <v>STR-1014</v>
      </c>
      <c r="B57" s="14">
        <f>dummy_variable_creation_sheet!B57</f>
        <v>45748</v>
      </c>
      <c r="C57" t="str">
        <f>dummy_variable_creation_sheet!C57</f>
        <v>West</v>
      </c>
      <c r="D57" t="str">
        <f>dummy_variable_creation_sheet!G57</f>
        <v>High Street</v>
      </c>
      <c r="E57">
        <f>dummy_variable_creation_sheet!S57</f>
        <v>487464.91</v>
      </c>
      <c r="F57">
        <f>multiple_regression_outputs!B88</f>
        <v>528998.67713607894</v>
      </c>
      <c r="G57">
        <f>multiple_regression_outputs!C88</f>
        <v>-41533.767136078968</v>
      </c>
    </row>
    <row r="58" spans="1:7">
      <c r="A58" t="str">
        <f>dummy_variable_creation_sheet!A55</f>
        <v>STR-1014</v>
      </c>
      <c r="B58" s="14">
        <f>dummy_variable_creation_sheet!B55</f>
        <v>45689</v>
      </c>
      <c r="C58" t="str">
        <f>dummy_variable_creation_sheet!C55</f>
        <v>West</v>
      </c>
      <c r="D58" t="str">
        <f>dummy_variable_creation_sheet!G55</f>
        <v>High Street</v>
      </c>
      <c r="E58">
        <f>dummy_variable_creation_sheet!S55</f>
        <v>746677.75</v>
      </c>
      <c r="F58">
        <f>multiple_regression_outputs!B86</f>
        <v>702267.25973635528</v>
      </c>
      <c r="G58">
        <f>multiple_regression_outputs!C86</f>
        <v>44410.490263644722</v>
      </c>
    </row>
    <row r="59" spans="1:7">
      <c r="A59" t="str">
        <f>dummy_variable_creation_sheet!A56</f>
        <v>STR-1014</v>
      </c>
      <c r="B59" s="14">
        <f>dummy_variable_creation_sheet!B56</f>
        <v>45717</v>
      </c>
      <c r="C59" t="str">
        <f>dummy_variable_creation_sheet!C56</f>
        <v>West</v>
      </c>
      <c r="D59" t="str">
        <f>dummy_variable_creation_sheet!G56</f>
        <v>High Street</v>
      </c>
      <c r="E59">
        <f>dummy_variable_creation_sheet!S56</f>
        <v>720852.5</v>
      </c>
      <c r="F59">
        <f>multiple_regression_outputs!B87</f>
        <v>675098.90293461946</v>
      </c>
      <c r="G59">
        <f>multiple_regression_outputs!C87</f>
        <v>45753.597065380542</v>
      </c>
    </row>
    <row r="60" spans="1:7">
      <c r="A60" t="str">
        <f>dummy_variable_creation_sheet!A61</f>
        <v>STR-1015</v>
      </c>
      <c r="B60" s="14">
        <f>dummy_variable_creation_sheet!B61</f>
        <v>45748</v>
      </c>
      <c r="C60" t="str">
        <f>dummy_variable_creation_sheet!C61</f>
        <v>East</v>
      </c>
      <c r="D60" t="str">
        <f>dummy_variable_creation_sheet!G61</f>
        <v>Airport</v>
      </c>
      <c r="E60">
        <f>dummy_variable_creation_sheet!S61</f>
        <v>553756.43000000005</v>
      </c>
      <c r="F60">
        <f>multiple_regression_outputs!B92</f>
        <v>628369.00907912885</v>
      </c>
      <c r="G60">
        <f>multiple_regression_outputs!C92</f>
        <v>-74612.579079128802</v>
      </c>
    </row>
    <row r="61" spans="1:7">
      <c r="A61" t="str">
        <f>dummy_variable_creation_sheet!A60</f>
        <v>STR-1015</v>
      </c>
      <c r="B61" s="14">
        <f>dummy_variable_creation_sheet!B60</f>
        <v>45717</v>
      </c>
      <c r="C61" t="str">
        <f>dummy_variable_creation_sheet!C60</f>
        <v>East</v>
      </c>
      <c r="D61" t="str">
        <f>dummy_variable_creation_sheet!G60</f>
        <v>Airport</v>
      </c>
      <c r="E61">
        <f>dummy_variable_creation_sheet!S60</f>
        <v>617291.15</v>
      </c>
      <c r="F61">
        <f>multiple_regression_outputs!B91</f>
        <v>686138.91802077997</v>
      </c>
      <c r="G61">
        <f>multiple_regression_outputs!C91</f>
        <v>-68847.768020779942</v>
      </c>
    </row>
    <row r="62" spans="1:7">
      <c r="A62" t="str">
        <f>dummy_variable_creation_sheet!A59</f>
        <v>STR-1015</v>
      </c>
      <c r="B62" s="14">
        <f>dummy_variable_creation_sheet!B59</f>
        <v>45689</v>
      </c>
      <c r="C62" t="str">
        <f>dummy_variable_creation_sheet!C59</f>
        <v>East</v>
      </c>
      <c r="D62" t="str">
        <f>dummy_variable_creation_sheet!G59</f>
        <v>Airport</v>
      </c>
      <c r="E62">
        <f>dummy_variable_creation_sheet!S59</f>
        <v>500298.48</v>
      </c>
      <c r="F62">
        <f>multiple_regression_outputs!B90</f>
        <v>538515.20246292371</v>
      </c>
      <c r="G62">
        <f>multiple_regression_outputs!C90</f>
        <v>-38216.722462923732</v>
      </c>
    </row>
    <row r="63" spans="1:7">
      <c r="A63" t="str">
        <f>dummy_variable_creation_sheet!A58</f>
        <v>STR-1015</v>
      </c>
      <c r="B63" s="14">
        <f>dummy_variable_creation_sheet!B58</f>
        <v>45658</v>
      </c>
      <c r="C63" t="str">
        <f>dummy_variable_creation_sheet!C58</f>
        <v>East</v>
      </c>
      <c r="D63" t="str">
        <f>dummy_variable_creation_sheet!G58</f>
        <v>Airport</v>
      </c>
      <c r="E63">
        <f>dummy_variable_creation_sheet!S58</f>
        <v>518049.26</v>
      </c>
      <c r="F63">
        <f>multiple_regression_outputs!B89</f>
        <v>545956.50998799643</v>
      </c>
      <c r="G63">
        <f>multiple_regression_outputs!C89</f>
        <v>-27907.249987996416</v>
      </c>
    </row>
    <row r="64" spans="1:7">
      <c r="A64" t="str">
        <f>dummy_variable_creation_sheet!A64</f>
        <v>STR-1016</v>
      </c>
      <c r="B64" s="14">
        <f>dummy_variable_creation_sheet!B64</f>
        <v>45717</v>
      </c>
      <c r="C64" t="str">
        <f>dummy_variable_creation_sheet!C64</f>
        <v>South</v>
      </c>
      <c r="D64" t="str">
        <f>dummy_variable_creation_sheet!G64</f>
        <v>High Street</v>
      </c>
      <c r="E64">
        <f>dummy_variable_creation_sheet!S64</f>
        <v>572011.19999999995</v>
      </c>
      <c r="F64">
        <f>multiple_regression_outputs!B95</f>
        <v>584575.92421691376</v>
      </c>
      <c r="G64">
        <f>multiple_regression_outputs!C95</f>
        <v>-12564.724216913804</v>
      </c>
    </row>
    <row r="65" spans="1:7">
      <c r="A65" t="str">
        <f>dummy_variable_creation_sheet!A65</f>
        <v>STR-1016</v>
      </c>
      <c r="B65" s="14">
        <f>dummy_variable_creation_sheet!B65</f>
        <v>45748</v>
      </c>
      <c r="C65" t="str">
        <f>dummy_variable_creation_sheet!C65</f>
        <v>South</v>
      </c>
      <c r="D65" t="str">
        <f>dummy_variable_creation_sheet!G65</f>
        <v>High Street</v>
      </c>
      <c r="E65">
        <f>dummy_variable_creation_sheet!S65</f>
        <v>761860.19</v>
      </c>
      <c r="F65">
        <f>multiple_regression_outputs!B96</f>
        <v>717358.11831368215</v>
      </c>
      <c r="G65">
        <f>multiple_regression_outputs!C96</f>
        <v>44502.071686317795</v>
      </c>
    </row>
    <row r="66" spans="1:7">
      <c r="A66" t="str">
        <f>dummy_variable_creation_sheet!A63</f>
        <v>STR-1016</v>
      </c>
      <c r="B66" s="14">
        <f>dummy_variable_creation_sheet!B63</f>
        <v>45689</v>
      </c>
      <c r="C66" t="str">
        <f>dummy_variable_creation_sheet!C63</f>
        <v>South</v>
      </c>
      <c r="D66" t="str">
        <f>dummy_variable_creation_sheet!G63</f>
        <v>High Street</v>
      </c>
      <c r="E66">
        <f>dummy_variable_creation_sheet!S63</f>
        <v>615966.48</v>
      </c>
      <c r="F66">
        <f>multiple_regression_outputs!B94</f>
        <v>567845.72629369574</v>
      </c>
      <c r="G66">
        <f>multiple_regression_outputs!C94</f>
        <v>48120.75370630424</v>
      </c>
    </row>
    <row r="67" spans="1:7">
      <c r="A67" t="str">
        <f>dummy_variable_creation_sheet!A62</f>
        <v>STR-1016</v>
      </c>
      <c r="B67" s="14">
        <f>dummy_variable_creation_sheet!B62</f>
        <v>45658</v>
      </c>
      <c r="C67" t="str">
        <f>dummy_variable_creation_sheet!C62</f>
        <v>South</v>
      </c>
      <c r="D67" t="str">
        <f>dummy_variable_creation_sheet!G62</f>
        <v>High Street</v>
      </c>
      <c r="E67">
        <f>dummy_variable_creation_sheet!S62</f>
        <v>749559.71</v>
      </c>
      <c r="F67">
        <f>multiple_regression_outputs!B93</f>
        <v>686102.92061447492</v>
      </c>
      <c r="G67">
        <f>multiple_regression_outputs!C93</f>
        <v>63456.789385525044</v>
      </c>
    </row>
    <row r="68" spans="1:7">
      <c r="A68" t="str">
        <f>dummy_variable_creation_sheet!A68</f>
        <v>STR-1017</v>
      </c>
      <c r="B68" s="14">
        <f>dummy_variable_creation_sheet!B68</f>
        <v>45717</v>
      </c>
      <c r="C68" t="str">
        <f>dummy_variable_creation_sheet!C68</f>
        <v>West</v>
      </c>
      <c r="D68" t="str">
        <f>dummy_variable_creation_sheet!G68</f>
        <v>High Street</v>
      </c>
      <c r="E68">
        <f>dummy_variable_creation_sheet!S68</f>
        <v>685379.08</v>
      </c>
      <c r="F68">
        <f>multiple_regression_outputs!B99</f>
        <v>844620.30958642811</v>
      </c>
      <c r="G68">
        <f>multiple_regression_outputs!C99</f>
        <v>-159241.22958642815</v>
      </c>
    </row>
    <row r="69" spans="1:7">
      <c r="A69" t="str">
        <f>dummy_variable_creation_sheet!A66</f>
        <v>STR-1017</v>
      </c>
      <c r="B69" s="14">
        <f>dummy_variable_creation_sheet!B66</f>
        <v>45658</v>
      </c>
      <c r="C69" t="str">
        <f>dummy_variable_creation_sheet!C66</f>
        <v>West</v>
      </c>
      <c r="D69" t="str">
        <f>dummy_variable_creation_sheet!G66</f>
        <v>High Street</v>
      </c>
      <c r="E69">
        <f>dummy_variable_creation_sheet!S66</f>
        <v>784502.68</v>
      </c>
      <c r="F69">
        <f>multiple_regression_outputs!B97</f>
        <v>806525.23434360162</v>
      </c>
      <c r="G69">
        <f>multiple_regression_outputs!C97</f>
        <v>-22022.554343601572</v>
      </c>
    </row>
    <row r="70" spans="1:7">
      <c r="A70" t="str">
        <f>dummy_variable_creation_sheet!A67</f>
        <v>STR-1017</v>
      </c>
      <c r="B70" s="14">
        <f>dummy_variable_creation_sheet!B67</f>
        <v>45689</v>
      </c>
      <c r="C70" t="str">
        <f>dummy_variable_creation_sheet!C67</f>
        <v>West</v>
      </c>
      <c r="D70" t="str">
        <f>dummy_variable_creation_sheet!G67</f>
        <v>High Street</v>
      </c>
      <c r="E70">
        <f>dummy_variable_creation_sheet!S67</f>
        <v>717141.55</v>
      </c>
      <c r="F70">
        <f>multiple_regression_outputs!B98</f>
        <v>734642.37273728778</v>
      </c>
      <c r="G70">
        <f>multiple_regression_outputs!C98</f>
        <v>-17500.82273728773</v>
      </c>
    </row>
    <row r="71" spans="1:7">
      <c r="A71" t="str">
        <f>dummy_variable_creation_sheet!A69</f>
        <v>STR-1017</v>
      </c>
      <c r="B71" s="14">
        <f>dummy_variable_creation_sheet!B69</f>
        <v>45748</v>
      </c>
      <c r="C71" t="str">
        <f>dummy_variable_creation_sheet!C69</f>
        <v>West</v>
      </c>
      <c r="D71" t="str">
        <f>dummy_variable_creation_sheet!G69</f>
        <v>High Street</v>
      </c>
      <c r="E71">
        <f>dummy_variable_creation_sheet!S69</f>
        <v>740496.65</v>
      </c>
      <c r="F71">
        <f>multiple_regression_outputs!B100</f>
        <v>733899.57194947498</v>
      </c>
      <c r="G71">
        <f>multiple_regression_outputs!C100</f>
        <v>6597.0780505250441</v>
      </c>
    </row>
    <row r="72" spans="1:7">
      <c r="A72" t="str">
        <f>dummy_variable_creation_sheet!A71</f>
        <v>STR-1018</v>
      </c>
      <c r="B72" s="14">
        <f>dummy_variable_creation_sheet!B71</f>
        <v>45689</v>
      </c>
      <c r="C72" t="str">
        <f>dummy_variable_creation_sheet!C71</f>
        <v>East</v>
      </c>
      <c r="D72" t="str">
        <f>dummy_variable_creation_sheet!G71</f>
        <v>High Street</v>
      </c>
      <c r="E72">
        <f>dummy_variable_creation_sheet!S71</f>
        <v>479050.5</v>
      </c>
      <c r="F72">
        <f>multiple_regression_outputs!B102</f>
        <v>509468.32108743186</v>
      </c>
      <c r="G72">
        <f>multiple_regression_outputs!C102</f>
        <v>-30417.821087431861</v>
      </c>
    </row>
    <row r="73" spans="1:7">
      <c r="A73" t="str">
        <f>dummy_variable_creation_sheet!A72</f>
        <v>STR-1018</v>
      </c>
      <c r="B73" s="14">
        <f>dummy_variable_creation_sheet!B72</f>
        <v>45717</v>
      </c>
      <c r="C73" t="str">
        <f>dummy_variable_creation_sheet!C72</f>
        <v>East</v>
      </c>
      <c r="D73" t="str">
        <f>dummy_variable_creation_sheet!G72</f>
        <v>High Street</v>
      </c>
      <c r="E73">
        <f>dummy_variable_creation_sheet!S72</f>
        <v>605023.87</v>
      </c>
      <c r="F73">
        <f>multiple_regression_outputs!B103</f>
        <v>600511.09614726505</v>
      </c>
      <c r="G73">
        <f>multiple_regression_outputs!C103</f>
        <v>4512.7738527349429</v>
      </c>
    </row>
    <row r="74" spans="1:7">
      <c r="A74" t="str">
        <f>dummy_variable_creation_sheet!A73</f>
        <v>STR-1018</v>
      </c>
      <c r="B74" s="14">
        <f>dummy_variable_creation_sheet!B73</f>
        <v>45748</v>
      </c>
      <c r="C74" t="str">
        <f>dummy_variable_creation_sheet!C73</f>
        <v>East</v>
      </c>
      <c r="D74" t="str">
        <f>dummy_variable_creation_sheet!G73</f>
        <v>High Street</v>
      </c>
      <c r="E74">
        <f>dummy_variable_creation_sheet!S73</f>
        <v>674774.09</v>
      </c>
      <c r="F74">
        <f>multiple_regression_outputs!B104</f>
        <v>647743.68409450259</v>
      </c>
      <c r="G74">
        <f>multiple_regression_outputs!C104</f>
        <v>27030.405905497377</v>
      </c>
    </row>
    <row r="75" spans="1:7">
      <c r="A75" t="str">
        <f>dummy_variable_creation_sheet!A70</f>
        <v>STR-1018</v>
      </c>
      <c r="B75" s="14">
        <f>dummy_variable_creation_sheet!B70</f>
        <v>45658</v>
      </c>
      <c r="C75" t="str">
        <f>dummy_variable_creation_sheet!C70</f>
        <v>East</v>
      </c>
      <c r="D75" t="str">
        <f>dummy_variable_creation_sheet!G70</f>
        <v>High Street</v>
      </c>
      <c r="E75">
        <f>dummy_variable_creation_sheet!S70</f>
        <v>661927.14</v>
      </c>
      <c r="F75">
        <f>multiple_regression_outputs!B101</f>
        <v>599112.49929458834</v>
      </c>
      <c r="G75">
        <f>multiple_regression_outputs!C101</f>
        <v>62814.640705411672</v>
      </c>
    </row>
    <row r="76" spans="1:7">
      <c r="A76" t="str">
        <f>dummy_variable_creation_sheet!A75</f>
        <v>STR-1019</v>
      </c>
      <c r="B76" s="14">
        <f>dummy_variable_creation_sheet!B75</f>
        <v>45689</v>
      </c>
      <c r="C76" t="str">
        <f>dummy_variable_creation_sheet!C75</f>
        <v>East</v>
      </c>
      <c r="D76" t="str">
        <f>dummy_variable_creation_sheet!G75</f>
        <v>Residential</v>
      </c>
      <c r="E76">
        <f>dummy_variable_creation_sheet!S75</f>
        <v>630829.93999999994</v>
      </c>
      <c r="F76">
        <f>multiple_regression_outputs!B106</f>
        <v>692647.34947879752</v>
      </c>
      <c r="G76">
        <f>multiple_regression_outputs!C106</f>
        <v>-61817.409478797577</v>
      </c>
    </row>
    <row r="77" spans="1:7">
      <c r="A77" t="str">
        <f>dummy_variable_creation_sheet!A77</f>
        <v>STR-1019</v>
      </c>
      <c r="B77" s="14">
        <f>dummy_variable_creation_sheet!B77</f>
        <v>45748</v>
      </c>
      <c r="C77" t="str">
        <f>dummy_variable_creation_sheet!C77</f>
        <v>East</v>
      </c>
      <c r="D77" t="str">
        <f>dummy_variable_creation_sheet!G77</f>
        <v>Residential</v>
      </c>
      <c r="E77">
        <f>dummy_variable_creation_sheet!S77</f>
        <v>680840.36</v>
      </c>
      <c r="F77">
        <f>multiple_regression_outputs!B108</f>
        <v>710349.69810684456</v>
      </c>
      <c r="G77">
        <f>multiple_regression_outputs!C108</f>
        <v>-29509.338106844574</v>
      </c>
    </row>
    <row r="78" spans="1:7">
      <c r="A78" t="str">
        <f>dummy_variable_creation_sheet!A74</f>
        <v>STR-1019</v>
      </c>
      <c r="B78" s="14">
        <f>dummy_variable_creation_sheet!B74</f>
        <v>45658</v>
      </c>
      <c r="C78" t="str">
        <f>dummy_variable_creation_sheet!C74</f>
        <v>East</v>
      </c>
      <c r="D78" t="str">
        <f>dummy_variable_creation_sheet!G74</f>
        <v>Residential</v>
      </c>
      <c r="E78">
        <f>dummy_variable_creation_sheet!S74</f>
        <v>616069.41</v>
      </c>
      <c r="F78">
        <f>multiple_regression_outputs!B105</f>
        <v>593584.38116218767</v>
      </c>
      <c r="G78">
        <f>multiple_regression_outputs!C105</f>
        <v>22485.028837812366</v>
      </c>
    </row>
    <row r="79" spans="1:7">
      <c r="A79" t="str">
        <f>dummy_variable_creation_sheet!A76</f>
        <v>STR-1019</v>
      </c>
      <c r="B79" s="14">
        <f>dummy_variable_creation_sheet!B76</f>
        <v>45717</v>
      </c>
      <c r="C79" t="str">
        <f>dummy_variable_creation_sheet!C76</f>
        <v>East</v>
      </c>
      <c r="D79" t="str">
        <f>dummy_variable_creation_sheet!G76</f>
        <v>Residential</v>
      </c>
      <c r="E79">
        <f>dummy_variable_creation_sheet!S76</f>
        <v>788087.68</v>
      </c>
      <c r="F79">
        <f>multiple_regression_outputs!B107</f>
        <v>700134.40156071587</v>
      </c>
      <c r="G79">
        <f>multiple_regression_outputs!C107</f>
        <v>87953.278439284186</v>
      </c>
    </row>
    <row r="80" spans="1:7">
      <c r="A80" t="str">
        <f>dummy_variable_creation_sheet!A81</f>
        <v>STR-1020</v>
      </c>
      <c r="B80" s="14">
        <f>dummy_variable_creation_sheet!B81</f>
        <v>45748</v>
      </c>
      <c r="C80" t="str">
        <f>dummy_variable_creation_sheet!C81</f>
        <v>South</v>
      </c>
      <c r="D80" t="str">
        <f>dummy_variable_creation_sheet!G81</f>
        <v>High Street</v>
      </c>
      <c r="E80">
        <f>dummy_variable_creation_sheet!S81</f>
        <v>636561.34</v>
      </c>
      <c r="F80">
        <f>multiple_regression_outputs!B112</f>
        <v>658082.30215697666</v>
      </c>
      <c r="G80">
        <f>multiple_regression_outputs!C112</f>
        <v>-21520.96215697669</v>
      </c>
    </row>
    <row r="81" spans="1:7">
      <c r="A81" t="str">
        <f>dummy_variable_creation_sheet!A78</f>
        <v>STR-1020</v>
      </c>
      <c r="B81" s="14">
        <f>dummy_variable_creation_sheet!B78</f>
        <v>45658</v>
      </c>
      <c r="C81" t="str">
        <f>dummy_variable_creation_sheet!C78</f>
        <v>South</v>
      </c>
      <c r="D81" t="str">
        <f>dummy_variable_creation_sheet!G78</f>
        <v>High Street</v>
      </c>
      <c r="E81">
        <f>dummy_variable_creation_sheet!S78</f>
        <v>643657.47</v>
      </c>
      <c r="F81">
        <f>multiple_regression_outputs!B109</f>
        <v>654888.57729699777</v>
      </c>
      <c r="G81">
        <f>multiple_regression_outputs!C109</f>
        <v>-11231.107296997798</v>
      </c>
    </row>
    <row r="82" spans="1:7">
      <c r="A82" t="str">
        <f>dummy_variable_creation_sheet!A79</f>
        <v>STR-1020</v>
      </c>
      <c r="B82" s="14">
        <f>dummy_variable_creation_sheet!B79</f>
        <v>45689</v>
      </c>
      <c r="C82" t="str">
        <f>dummy_variable_creation_sheet!C79</f>
        <v>South</v>
      </c>
      <c r="D82" t="str">
        <f>dummy_variable_creation_sheet!G79</f>
        <v>High Street</v>
      </c>
      <c r="E82">
        <f>dummy_variable_creation_sheet!S79</f>
        <v>691112.6</v>
      </c>
      <c r="F82">
        <f>multiple_regression_outputs!B110</f>
        <v>654105.8950465722</v>
      </c>
      <c r="G82">
        <f>multiple_regression_outputs!C110</f>
        <v>37006.704953427776</v>
      </c>
    </row>
    <row r="83" spans="1:7">
      <c r="A83" t="str">
        <f>dummy_variable_creation_sheet!A80</f>
        <v>STR-1020</v>
      </c>
      <c r="B83" s="14">
        <f>dummy_variable_creation_sheet!B80</f>
        <v>45717</v>
      </c>
      <c r="C83" t="str">
        <f>dummy_variable_creation_sheet!C80</f>
        <v>South</v>
      </c>
      <c r="D83" t="str">
        <f>dummy_variable_creation_sheet!G80</f>
        <v>High Street</v>
      </c>
      <c r="E83">
        <f>dummy_variable_creation_sheet!S80</f>
        <v>776922.17</v>
      </c>
      <c r="F83">
        <f>multiple_regression_outputs!B111</f>
        <v>722747.60061962414</v>
      </c>
      <c r="G83">
        <f>multiple_regression_outputs!C111</f>
        <v>54174.569380375906</v>
      </c>
    </row>
    <row r="84" spans="1:7">
      <c r="A84" t="str">
        <f>dummy_variable_creation_sheet!A82</f>
        <v>STR-1021</v>
      </c>
      <c r="B84" s="14">
        <f>dummy_variable_creation_sheet!B82</f>
        <v>45658</v>
      </c>
      <c r="C84" t="str">
        <f>dummy_variable_creation_sheet!C82</f>
        <v>West</v>
      </c>
      <c r="D84" t="str">
        <f>dummy_variable_creation_sheet!G82</f>
        <v>Mall</v>
      </c>
      <c r="E84">
        <f>dummy_variable_creation_sheet!S82</f>
        <v>621369.57999999996</v>
      </c>
      <c r="F84">
        <f>multiple_regression_outputs!B113</f>
        <v>642681.42387219565</v>
      </c>
      <c r="G84">
        <f>multiple_regression_outputs!C113</f>
        <v>-21311.843872195692</v>
      </c>
    </row>
    <row r="85" spans="1:7">
      <c r="A85" t="str">
        <f>dummy_variable_creation_sheet!A85</f>
        <v>STR-1021</v>
      </c>
      <c r="B85" s="14">
        <f>dummy_variable_creation_sheet!B85</f>
        <v>45748</v>
      </c>
      <c r="C85" t="str">
        <f>dummy_variable_creation_sheet!C85</f>
        <v>West</v>
      </c>
      <c r="D85" t="str">
        <f>dummy_variable_creation_sheet!G85</f>
        <v>Mall</v>
      </c>
      <c r="E85">
        <f>dummy_variable_creation_sheet!S85</f>
        <v>569100.78</v>
      </c>
      <c r="F85">
        <f>multiple_regression_outputs!B116</f>
        <v>559803.24704057781</v>
      </c>
      <c r="G85">
        <f>multiple_regression_outputs!C116</f>
        <v>9297.532959422213</v>
      </c>
    </row>
    <row r="86" spans="1:7">
      <c r="A86" t="str">
        <f>dummy_variable_creation_sheet!A83</f>
        <v>STR-1021</v>
      </c>
      <c r="B86" s="14">
        <f>dummy_variable_creation_sheet!B83</f>
        <v>45689</v>
      </c>
      <c r="C86" t="str">
        <f>dummy_variable_creation_sheet!C83</f>
        <v>West</v>
      </c>
      <c r="D86" t="str">
        <f>dummy_variable_creation_sheet!G83</f>
        <v>Mall</v>
      </c>
      <c r="E86">
        <f>dummy_variable_creation_sheet!S83</f>
        <v>682208.01</v>
      </c>
      <c r="F86">
        <f>multiple_regression_outputs!B114</f>
        <v>632158.98431368882</v>
      </c>
      <c r="G86">
        <f>multiple_regression_outputs!C114</f>
        <v>50049.025686311186</v>
      </c>
    </row>
    <row r="87" spans="1:7">
      <c r="A87" t="str">
        <f>dummy_variable_creation_sheet!A84</f>
        <v>STR-1021</v>
      </c>
      <c r="B87" s="14">
        <f>dummy_variable_creation_sheet!B84</f>
        <v>45717</v>
      </c>
      <c r="C87" t="str">
        <f>dummy_variable_creation_sheet!C84</f>
        <v>West</v>
      </c>
      <c r="D87" t="str">
        <f>dummy_variable_creation_sheet!G84</f>
        <v>Mall</v>
      </c>
      <c r="E87">
        <f>dummy_variable_creation_sheet!S84</f>
        <v>727241.86</v>
      </c>
      <c r="F87">
        <f>multiple_regression_outputs!B115</f>
        <v>645907.03536253271</v>
      </c>
      <c r="G87">
        <f>multiple_regression_outputs!C115</f>
        <v>81334.824637467274</v>
      </c>
    </row>
    <row r="88" spans="1:7">
      <c r="A88" t="str">
        <f>dummy_variable_creation_sheet!A87</f>
        <v>STR-1022</v>
      </c>
      <c r="B88" s="14">
        <f>dummy_variable_creation_sheet!B87</f>
        <v>45689</v>
      </c>
      <c r="C88" t="str">
        <f>dummy_variable_creation_sheet!C87</f>
        <v>West</v>
      </c>
      <c r="D88" t="str">
        <f>dummy_variable_creation_sheet!G87</f>
        <v>High Street</v>
      </c>
      <c r="E88">
        <f>dummy_variable_creation_sheet!S87</f>
        <v>611766.72</v>
      </c>
      <c r="F88">
        <f>multiple_regression_outputs!B118</f>
        <v>638458.7126291953</v>
      </c>
      <c r="G88">
        <f>multiple_regression_outputs!C118</f>
        <v>-26691.992629195331</v>
      </c>
    </row>
    <row r="89" spans="1:7">
      <c r="A89" t="str">
        <f>dummy_variable_creation_sheet!A88</f>
        <v>STR-1022</v>
      </c>
      <c r="B89" s="14">
        <f>dummy_variable_creation_sheet!B88</f>
        <v>45717</v>
      </c>
      <c r="C89" t="str">
        <f>dummy_variable_creation_sheet!C88</f>
        <v>West</v>
      </c>
      <c r="D89" t="str">
        <f>dummy_variable_creation_sheet!G88</f>
        <v>High Street</v>
      </c>
      <c r="E89">
        <f>dummy_variable_creation_sheet!S88</f>
        <v>614596.31999999995</v>
      </c>
      <c r="F89">
        <f>multiple_regression_outputs!B119</f>
        <v>617742.64369133592</v>
      </c>
      <c r="G89">
        <f>multiple_regression_outputs!C119</f>
        <v>-3146.3236913359724</v>
      </c>
    </row>
    <row r="90" spans="1:7">
      <c r="A90" t="str">
        <f>dummy_variable_creation_sheet!A89</f>
        <v>STR-1022</v>
      </c>
      <c r="B90" s="14">
        <f>dummy_variable_creation_sheet!B89</f>
        <v>45748</v>
      </c>
      <c r="C90" t="str">
        <f>dummy_variable_creation_sheet!C89</f>
        <v>West</v>
      </c>
      <c r="D90" t="str">
        <f>dummy_variable_creation_sheet!G89</f>
        <v>High Street</v>
      </c>
      <c r="E90">
        <f>dummy_variable_creation_sheet!S89</f>
        <v>450711.92</v>
      </c>
      <c r="F90">
        <f>multiple_regression_outputs!B120</f>
        <v>452230.66586740746</v>
      </c>
      <c r="G90">
        <f>multiple_regression_outputs!C120</f>
        <v>-1518.7458674074733</v>
      </c>
    </row>
    <row r="91" spans="1:7">
      <c r="A91" t="str">
        <f>dummy_variable_creation_sheet!A86</f>
        <v>STR-1022</v>
      </c>
      <c r="B91" s="14">
        <f>dummy_variable_creation_sheet!B86</f>
        <v>45658</v>
      </c>
      <c r="C91" t="str">
        <f>dummy_variable_creation_sheet!C86</f>
        <v>West</v>
      </c>
      <c r="D91" t="str">
        <f>dummy_variable_creation_sheet!G86</f>
        <v>High Street</v>
      </c>
      <c r="E91">
        <f>dummy_variable_creation_sheet!S86</f>
        <v>574436.29</v>
      </c>
      <c r="F91">
        <f>multiple_regression_outputs!B117</f>
        <v>555463.43968265154</v>
      </c>
      <c r="G91">
        <f>multiple_regression_outputs!C117</f>
        <v>18972.850317348493</v>
      </c>
    </row>
    <row r="92" spans="1:7">
      <c r="A92" t="str">
        <f>dummy_variable_creation_sheet!A91</f>
        <v>STR-1023</v>
      </c>
      <c r="B92" s="14">
        <f>dummy_variable_creation_sheet!B91</f>
        <v>45689</v>
      </c>
      <c r="C92" t="str">
        <f>dummy_variable_creation_sheet!C91</f>
        <v>South</v>
      </c>
      <c r="D92" t="str">
        <f>dummy_variable_creation_sheet!G91</f>
        <v>Mall</v>
      </c>
      <c r="E92">
        <f>dummy_variable_creation_sheet!S91</f>
        <v>627171.9</v>
      </c>
      <c r="F92">
        <f>multiple_regression_outputs!B122</f>
        <v>755437.16143906571</v>
      </c>
      <c r="G92">
        <f>multiple_regression_outputs!C122</f>
        <v>-128265.26143906568</v>
      </c>
    </row>
    <row r="93" spans="1:7">
      <c r="A93" t="str">
        <f>dummy_variable_creation_sheet!A92</f>
        <v>STR-1023</v>
      </c>
      <c r="B93" s="14">
        <f>dummy_variable_creation_sheet!B92</f>
        <v>45717</v>
      </c>
      <c r="C93" t="str">
        <f>dummy_variable_creation_sheet!C92</f>
        <v>South</v>
      </c>
      <c r="D93" t="str">
        <f>dummy_variable_creation_sheet!G92</f>
        <v>Mall</v>
      </c>
      <c r="E93">
        <f>dummy_variable_creation_sheet!S92</f>
        <v>739852.58</v>
      </c>
      <c r="F93">
        <f>multiple_regression_outputs!B123</f>
        <v>718788.34045213985</v>
      </c>
      <c r="G93">
        <f>multiple_regression_outputs!C123</f>
        <v>21064.23954786011</v>
      </c>
    </row>
    <row r="94" spans="1:7">
      <c r="A94" t="str">
        <f>dummy_variable_creation_sheet!A93</f>
        <v>STR-1023</v>
      </c>
      <c r="B94" s="14">
        <f>dummy_variable_creation_sheet!B93</f>
        <v>45748</v>
      </c>
      <c r="C94" t="str">
        <f>dummy_variable_creation_sheet!C93</f>
        <v>South</v>
      </c>
      <c r="D94" t="str">
        <f>dummy_variable_creation_sheet!G93</f>
        <v>Mall</v>
      </c>
      <c r="E94">
        <f>dummy_variable_creation_sheet!S93</f>
        <v>586307.22</v>
      </c>
      <c r="F94">
        <f>multiple_regression_outputs!B124</f>
        <v>560978.88745416794</v>
      </c>
      <c r="G94">
        <f>multiple_regression_outputs!C124</f>
        <v>25328.332545832032</v>
      </c>
    </row>
    <row r="95" spans="1:7">
      <c r="A95" t="str">
        <f>dummy_variable_creation_sheet!A90</f>
        <v>STR-1023</v>
      </c>
      <c r="B95" s="14">
        <f>dummy_variable_creation_sheet!B90</f>
        <v>45658</v>
      </c>
      <c r="C95" t="str">
        <f>dummy_variable_creation_sheet!C90</f>
        <v>South</v>
      </c>
      <c r="D95" t="str">
        <f>dummy_variable_creation_sheet!G90</f>
        <v>Mall</v>
      </c>
      <c r="E95">
        <f>dummy_variable_creation_sheet!S90</f>
        <v>711213.46</v>
      </c>
      <c r="F95">
        <f>multiple_regression_outputs!B121</f>
        <v>679670.18987494218</v>
      </c>
      <c r="G95">
        <f>multiple_regression_outputs!C121</f>
        <v>31543.270125057781</v>
      </c>
    </row>
    <row r="96" spans="1:7">
      <c r="A96" t="str">
        <f>dummy_variable_creation_sheet!A97</f>
        <v>STR-1024</v>
      </c>
      <c r="B96" s="14">
        <f>dummy_variable_creation_sheet!B97</f>
        <v>45748</v>
      </c>
      <c r="C96" t="str">
        <f>dummy_variable_creation_sheet!C97</f>
        <v>West</v>
      </c>
      <c r="D96" t="str">
        <f>dummy_variable_creation_sheet!G97</f>
        <v>Residential</v>
      </c>
      <c r="E96">
        <f>dummy_variable_creation_sheet!S97</f>
        <v>607898.12</v>
      </c>
      <c r="F96">
        <f>multiple_regression_outputs!B128</f>
        <v>613408.04355132056</v>
      </c>
      <c r="G96">
        <f>multiple_regression_outputs!C128</f>
        <v>-5509.923551320564</v>
      </c>
    </row>
    <row r="97" spans="1:7">
      <c r="A97" t="str">
        <f>dummy_variable_creation_sheet!A94</f>
        <v>STR-1024</v>
      </c>
      <c r="B97" s="14">
        <f>dummy_variable_creation_sheet!B94</f>
        <v>45658</v>
      </c>
      <c r="C97" t="str">
        <f>dummy_variable_creation_sheet!C94</f>
        <v>West</v>
      </c>
      <c r="D97" t="str">
        <f>dummy_variable_creation_sheet!G94</f>
        <v>Residential</v>
      </c>
      <c r="E97">
        <f>dummy_variable_creation_sheet!S94</f>
        <v>585937.48</v>
      </c>
      <c r="F97">
        <f>multiple_regression_outputs!B125</f>
        <v>579524.17881784693</v>
      </c>
      <c r="G97">
        <f>multiple_regression_outputs!C125</f>
        <v>6413.3011821530527</v>
      </c>
    </row>
    <row r="98" spans="1:7">
      <c r="A98" t="str">
        <f>dummy_variable_creation_sheet!A95</f>
        <v>STR-1024</v>
      </c>
      <c r="B98" s="14">
        <f>dummy_variable_creation_sheet!B95</f>
        <v>45689</v>
      </c>
      <c r="C98" t="str">
        <f>dummy_variable_creation_sheet!C95</f>
        <v>West</v>
      </c>
      <c r="D98" t="str">
        <f>dummy_variable_creation_sheet!G95</f>
        <v>Residential</v>
      </c>
      <c r="E98">
        <f>dummy_variable_creation_sheet!S95</f>
        <v>753473.55</v>
      </c>
      <c r="F98">
        <f>multiple_regression_outputs!B126</f>
        <v>689790.86757797655</v>
      </c>
      <c r="G98">
        <f>multiple_regression_outputs!C126</f>
        <v>63682.682422023499</v>
      </c>
    </row>
    <row r="99" spans="1:7">
      <c r="A99" t="str">
        <f>dummy_variable_creation_sheet!A96</f>
        <v>STR-1024</v>
      </c>
      <c r="B99" s="14">
        <f>dummy_variable_creation_sheet!B96</f>
        <v>45717</v>
      </c>
      <c r="C99" t="str">
        <f>dummy_variable_creation_sheet!C96</f>
        <v>West</v>
      </c>
      <c r="D99" t="str">
        <f>dummy_variable_creation_sheet!G96</f>
        <v>Residential</v>
      </c>
      <c r="E99">
        <f>dummy_variable_creation_sheet!S96</f>
        <v>838250.32</v>
      </c>
      <c r="F99">
        <f>multiple_regression_outputs!B127</f>
        <v>759075.14647425734</v>
      </c>
      <c r="G99">
        <f>multiple_regression_outputs!C127</f>
        <v>79175.173525742604</v>
      </c>
    </row>
    <row r="100" spans="1:7">
      <c r="A100" t="str">
        <f>dummy_variable_creation_sheet!A100</f>
        <v>STR-1025</v>
      </c>
      <c r="B100" s="14">
        <f>dummy_variable_creation_sheet!B100</f>
        <v>45717</v>
      </c>
      <c r="C100" t="str">
        <f>dummy_variable_creation_sheet!C100</f>
        <v>West</v>
      </c>
      <c r="D100" t="str">
        <f>dummy_variable_creation_sheet!G100</f>
        <v>Mall</v>
      </c>
      <c r="E100">
        <f>dummy_variable_creation_sheet!S100</f>
        <v>605775.32999999996</v>
      </c>
      <c r="F100">
        <f>multiple_regression_outputs!B131</f>
        <v>616928.0957860013</v>
      </c>
      <c r="G100">
        <f>multiple_regression_outputs!C131</f>
        <v>-11152.765786001342</v>
      </c>
    </row>
    <row r="101" spans="1:7">
      <c r="A101" t="str">
        <f>dummy_variable_creation_sheet!A98</f>
        <v>STR-1025</v>
      </c>
      <c r="B101" s="14">
        <f>dummy_variable_creation_sheet!B98</f>
        <v>45658</v>
      </c>
      <c r="C101" t="str">
        <f>dummy_variable_creation_sheet!C98</f>
        <v>West</v>
      </c>
      <c r="D101" t="str">
        <f>dummy_variable_creation_sheet!G98</f>
        <v>Mall</v>
      </c>
      <c r="E101">
        <f>dummy_variable_creation_sheet!S98</f>
        <v>691113.62</v>
      </c>
      <c r="F101">
        <f>multiple_regression_outputs!B129</f>
        <v>698351.02945246315</v>
      </c>
      <c r="G101">
        <f>multiple_regression_outputs!C129</f>
        <v>-7237.409452463151</v>
      </c>
    </row>
    <row r="102" spans="1:7">
      <c r="A102" t="str">
        <f>dummy_variable_creation_sheet!A101</f>
        <v>STR-1025</v>
      </c>
      <c r="B102" s="14">
        <f>dummy_variable_creation_sheet!B101</f>
        <v>45748</v>
      </c>
      <c r="C102" t="str">
        <f>dummy_variable_creation_sheet!C101</f>
        <v>West</v>
      </c>
      <c r="D102" t="str">
        <f>dummy_variable_creation_sheet!G101</f>
        <v>Mall</v>
      </c>
      <c r="E102">
        <f>dummy_variable_creation_sheet!S101</f>
        <v>675177.68</v>
      </c>
      <c r="F102">
        <f>multiple_regression_outputs!B132</f>
        <v>652321.55279737606</v>
      </c>
      <c r="G102">
        <f>multiple_regression_outputs!C132</f>
        <v>22856.127202623989</v>
      </c>
    </row>
    <row r="103" spans="1:7">
      <c r="A103" t="str">
        <f>dummy_variable_creation_sheet!A99</f>
        <v>STR-1025</v>
      </c>
      <c r="B103" s="14">
        <f>dummy_variable_creation_sheet!B99</f>
        <v>45689</v>
      </c>
      <c r="C103" t="str">
        <f>dummy_variable_creation_sheet!C99</f>
        <v>West</v>
      </c>
      <c r="D103" t="str">
        <f>dummy_variable_creation_sheet!G99</f>
        <v>Mall</v>
      </c>
      <c r="E103">
        <f>dummy_variable_creation_sheet!S99</f>
        <v>735509.4</v>
      </c>
      <c r="F103">
        <f>multiple_regression_outputs!B130</f>
        <v>661032.68188479729</v>
      </c>
      <c r="G103">
        <f>multiple_regression_outputs!C130</f>
        <v>74476.718115202733</v>
      </c>
    </row>
    <row r="104" spans="1:7">
      <c r="A104" t="str">
        <f>dummy_variable_creation_sheet!A103</f>
        <v>STR-1026</v>
      </c>
      <c r="B104" s="14">
        <f>dummy_variable_creation_sheet!B103</f>
        <v>45689</v>
      </c>
      <c r="C104" t="str">
        <f>dummy_variable_creation_sheet!C103</f>
        <v>East</v>
      </c>
      <c r="D104" t="str">
        <f>dummy_variable_creation_sheet!G103</f>
        <v>Mall</v>
      </c>
      <c r="E104">
        <f>dummy_variable_creation_sheet!S103</f>
        <v>586626.93999999994</v>
      </c>
      <c r="F104">
        <f>multiple_regression_outputs!B134</f>
        <v>630220.80312965042</v>
      </c>
      <c r="G104">
        <f>multiple_regression_outputs!C134</f>
        <v>-43593.863129650475</v>
      </c>
    </row>
    <row r="105" spans="1:7">
      <c r="A105" t="str">
        <f>dummy_variable_creation_sheet!A104</f>
        <v>STR-1026</v>
      </c>
      <c r="B105" s="14">
        <f>dummy_variable_creation_sheet!B104</f>
        <v>45717</v>
      </c>
      <c r="C105" t="str">
        <f>dummy_variable_creation_sheet!C104</f>
        <v>East</v>
      </c>
      <c r="D105" t="str">
        <f>dummy_variable_creation_sheet!G104</f>
        <v>Mall</v>
      </c>
      <c r="E105">
        <f>dummy_variable_creation_sheet!S104</f>
        <v>740102.64</v>
      </c>
      <c r="F105">
        <f>multiple_regression_outputs!B135</f>
        <v>714030.96224382916</v>
      </c>
      <c r="G105">
        <f>multiple_regression_outputs!C135</f>
        <v>26071.677756170859</v>
      </c>
    </row>
    <row r="106" spans="1:7">
      <c r="A106" t="str">
        <f>dummy_variable_creation_sheet!A102</f>
        <v>STR-1026</v>
      </c>
      <c r="B106" s="14">
        <f>dummy_variable_creation_sheet!B102</f>
        <v>45658</v>
      </c>
      <c r="C106" t="str">
        <f>dummy_variable_creation_sheet!C102</f>
        <v>East</v>
      </c>
      <c r="D106" t="str">
        <f>dummy_variable_creation_sheet!G102</f>
        <v>Mall</v>
      </c>
      <c r="E106">
        <f>dummy_variable_creation_sheet!S102</f>
        <v>635181.35</v>
      </c>
      <c r="F106">
        <f>multiple_regression_outputs!B133</f>
        <v>598293.95275441685</v>
      </c>
      <c r="G106">
        <f>multiple_regression_outputs!C133</f>
        <v>36887.397245583124</v>
      </c>
    </row>
    <row r="107" spans="1:7">
      <c r="A107" t="str">
        <f>dummy_variable_creation_sheet!A105</f>
        <v>STR-1026</v>
      </c>
      <c r="B107" s="14">
        <f>dummy_variable_creation_sheet!B105</f>
        <v>45748</v>
      </c>
      <c r="C107" t="str">
        <f>dummy_variable_creation_sheet!C105</f>
        <v>East</v>
      </c>
      <c r="D107" t="str">
        <f>dummy_variable_creation_sheet!G105</f>
        <v>Mall</v>
      </c>
      <c r="E107">
        <f>dummy_variable_creation_sheet!S105</f>
        <v>625514.04</v>
      </c>
      <c r="F107">
        <f>multiple_regression_outputs!B136</f>
        <v>538915.98513241846</v>
      </c>
      <c r="G107">
        <f>multiple_regression_outputs!C136</f>
        <v>86598.054867581581</v>
      </c>
    </row>
    <row r="108" spans="1:7">
      <c r="A108" t="str">
        <f>dummy_variable_creation_sheet!A107</f>
        <v>STR-1027</v>
      </c>
      <c r="B108" s="14">
        <f>dummy_variable_creation_sheet!B107</f>
        <v>45689</v>
      </c>
      <c r="C108" t="str">
        <f>dummy_variable_creation_sheet!C107</f>
        <v>West</v>
      </c>
      <c r="D108" t="str">
        <f>dummy_variable_creation_sheet!G107</f>
        <v>High Street</v>
      </c>
      <c r="E108">
        <f>dummy_variable_creation_sheet!S107</f>
        <v>783797.89</v>
      </c>
      <c r="F108">
        <f>multiple_regression_outputs!B138</f>
        <v>790355.3374413494</v>
      </c>
      <c r="G108">
        <f>multiple_regression_outputs!C138</f>
        <v>-6557.4474413493881</v>
      </c>
    </row>
    <row r="109" spans="1:7">
      <c r="A109" t="str">
        <f>dummy_variable_creation_sheet!A109</f>
        <v>STR-1027</v>
      </c>
      <c r="B109" s="14">
        <f>dummy_variable_creation_sheet!B109</f>
        <v>45748</v>
      </c>
      <c r="C109" t="str">
        <f>dummy_variable_creation_sheet!C109</f>
        <v>West</v>
      </c>
      <c r="D109" t="str">
        <f>dummy_variable_creation_sheet!G109</f>
        <v>High Street</v>
      </c>
      <c r="E109">
        <f>dummy_variable_creation_sheet!S109</f>
        <v>665594.93999999994</v>
      </c>
      <c r="F109">
        <f>multiple_regression_outputs!B140</f>
        <v>670444.90499397914</v>
      </c>
      <c r="G109">
        <f>multiple_regression_outputs!C140</f>
        <v>-4849.9649939791998</v>
      </c>
    </row>
    <row r="110" spans="1:7">
      <c r="A110" t="str">
        <f>dummy_variable_creation_sheet!A106</f>
        <v>STR-1027</v>
      </c>
      <c r="B110" s="14">
        <f>dummy_variable_creation_sheet!B106</f>
        <v>45658</v>
      </c>
      <c r="C110" t="str">
        <f>dummy_variable_creation_sheet!C106</f>
        <v>West</v>
      </c>
      <c r="D110" t="str">
        <f>dummy_variable_creation_sheet!G106</f>
        <v>High Street</v>
      </c>
      <c r="E110">
        <f>dummy_variable_creation_sheet!S106</f>
        <v>727227.2</v>
      </c>
      <c r="F110">
        <f>multiple_regression_outputs!B137</f>
        <v>693588.79958227265</v>
      </c>
      <c r="G110">
        <f>multiple_regression_outputs!C137</f>
        <v>33638.400417727302</v>
      </c>
    </row>
    <row r="111" spans="1:7">
      <c r="A111" t="str">
        <f>dummy_variable_creation_sheet!A108</f>
        <v>STR-1027</v>
      </c>
      <c r="B111" s="14">
        <f>dummy_variable_creation_sheet!B108</f>
        <v>45717</v>
      </c>
      <c r="C111" t="str">
        <f>dummy_variable_creation_sheet!C108</f>
        <v>West</v>
      </c>
      <c r="D111" t="str">
        <f>dummy_variable_creation_sheet!G108</f>
        <v>High Street</v>
      </c>
      <c r="E111">
        <f>dummy_variable_creation_sheet!S108</f>
        <v>795153.84</v>
      </c>
      <c r="F111">
        <f>multiple_regression_outputs!B139</f>
        <v>721805.68593108375</v>
      </c>
      <c r="G111">
        <f>multiple_regression_outputs!C139</f>
        <v>73348.154068916221</v>
      </c>
    </row>
    <row r="112" spans="1:7">
      <c r="A112" t="str">
        <f>dummy_variable_creation_sheet!A112</f>
        <v>STR-1028</v>
      </c>
      <c r="B112" s="14">
        <f>dummy_variable_creation_sheet!B112</f>
        <v>45717</v>
      </c>
      <c r="C112" t="str">
        <f>dummy_variable_creation_sheet!C112</f>
        <v>East</v>
      </c>
      <c r="D112" t="str">
        <f>dummy_variable_creation_sheet!G112</f>
        <v>Mall</v>
      </c>
      <c r="E112">
        <f>dummy_variable_creation_sheet!S112</f>
        <v>633494.21</v>
      </c>
      <c r="F112">
        <f>multiple_regression_outputs!B143</f>
        <v>663832.04158708313</v>
      </c>
      <c r="G112">
        <f>multiple_regression_outputs!C143</f>
        <v>-30337.831587083172</v>
      </c>
    </row>
    <row r="113" spans="1:7">
      <c r="A113" t="str">
        <f>dummy_variable_creation_sheet!A111</f>
        <v>STR-1028</v>
      </c>
      <c r="B113" s="14">
        <f>dummy_variable_creation_sheet!B111</f>
        <v>45689</v>
      </c>
      <c r="C113" t="str">
        <f>dummy_variable_creation_sheet!C111</f>
        <v>East</v>
      </c>
      <c r="D113" t="str">
        <f>dummy_variable_creation_sheet!G111</f>
        <v>Mall</v>
      </c>
      <c r="E113">
        <f>dummy_variable_creation_sheet!S111</f>
        <v>664162.49</v>
      </c>
      <c r="F113">
        <f>multiple_regression_outputs!B142</f>
        <v>656563.08606116194</v>
      </c>
      <c r="G113">
        <f>multiple_regression_outputs!C142</f>
        <v>7599.4039388380479</v>
      </c>
    </row>
    <row r="114" spans="1:7">
      <c r="A114" t="str">
        <f>dummy_variable_creation_sheet!A110</f>
        <v>STR-1028</v>
      </c>
      <c r="B114" s="14">
        <f>dummy_variable_creation_sheet!B110</f>
        <v>45658</v>
      </c>
      <c r="C114" t="str">
        <f>dummy_variable_creation_sheet!C110</f>
        <v>East</v>
      </c>
      <c r="D114" t="str">
        <f>dummy_variable_creation_sheet!G110</f>
        <v>Mall</v>
      </c>
      <c r="E114">
        <f>dummy_variable_creation_sheet!S110</f>
        <v>709478.39</v>
      </c>
      <c r="F114">
        <f>multiple_regression_outputs!B141</f>
        <v>683114.86083522555</v>
      </c>
      <c r="G114">
        <f>multiple_regression_outputs!C141</f>
        <v>26363.52916477446</v>
      </c>
    </row>
    <row r="115" spans="1:7">
      <c r="A115" t="str">
        <f>dummy_variable_creation_sheet!A113</f>
        <v>STR-1028</v>
      </c>
      <c r="B115" s="14">
        <f>dummy_variable_creation_sheet!B113</f>
        <v>45748</v>
      </c>
      <c r="C115" t="str">
        <f>dummy_variable_creation_sheet!C113</f>
        <v>East</v>
      </c>
      <c r="D115" t="str">
        <f>dummy_variable_creation_sheet!G113</f>
        <v>Mall</v>
      </c>
      <c r="E115">
        <f>dummy_variable_creation_sheet!S113</f>
        <v>713611.16</v>
      </c>
      <c r="F115">
        <f>multiple_regression_outputs!B144</f>
        <v>618465.83619346959</v>
      </c>
      <c r="G115">
        <f>multiple_regression_outputs!C144</f>
        <v>95145.323806530447</v>
      </c>
    </row>
    <row r="116" spans="1:7">
      <c r="A116" t="str">
        <f>dummy_variable_creation_sheet!A116</f>
        <v>STR-1029</v>
      </c>
      <c r="B116" s="14">
        <f>dummy_variable_creation_sheet!B116</f>
        <v>45717</v>
      </c>
      <c r="C116" t="str">
        <f>dummy_variable_creation_sheet!C116</f>
        <v>West</v>
      </c>
      <c r="D116" t="str">
        <f>dummy_variable_creation_sheet!G116</f>
        <v>Mall</v>
      </c>
      <c r="E116">
        <f>dummy_variable_creation_sheet!S116</f>
        <v>697287.9</v>
      </c>
      <c r="F116">
        <f>multiple_regression_outputs!B147</f>
        <v>754005.1385438625</v>
      </c>
      <c r="G116">
        <f>multiple_regression_outputs!C147</f>
        <v>-56717.238543862477</v>
      </c>
    </row>
    <row r="117" spans="1:7">
      <c r="A117" t="str">
        <f>dummy_variable_creation_sheet!A117</f>
        <v>STR-1029</v>
      </c>
      <c r="B117" s="14">
        <f>dummy_variable_creation_sheet!B117</f>
        <v>45748</v>
      </c>
      <c r="C117" t="str">
        <f>dummy_variable_creation_sheet!C117</f>
        <v>West</v>
      </c>
      <c r="D117" t="str">
        <f>dummy_variable_creation_sheet!G117</f>
        <v>Mall</v>
      </c>
      <c r="E117">
        <f>dummy_variable_creation_sheet!S117</f>
        <v>718074.79</v>
      </c>
      <c r="F117">
        <f>multiple_regression_outputs!B148</f>
        <v>759421.59367156425</v>
      </c>
      <c r="G117">
        <f>multiple_regression_outputs!C148</f>
        <v>-41346.803671564208</v>
      </c>
    </row>
    <row r="118" spans="1:7">
      <c r="A118" t="str">
        <f>dummy_variable_creation_sheet!A115</f>
        <v>STR-1029</v>
      </c>
      <c r="B118" s="14">
        <f>dummy_variable_creation_sheet!B115</f>
        <v>45689</v>
      </c>
      <c r="C118" t="str">
        <f>dummy_variable_creation_sheet!C115</f>
        <v>West</v>
      </c>
      <c r="D118" t="str">
        <f>dummy_variable_creation_sheet!G115</f>
        <v>Mall</v>
      </c>
      <c r="E118">
        <f>dummy_variable_creation_sheet!S115</f>
        <v>873380.02</v>
      </c>
      <c r="F118">
        <f>multiple_regression_outputs!B146</f>
        <v>835879.60779186431</v>
      </c>
      <c r="G118">
        <f>multiple_regression_outputs!C146</f>
        <v>37500.412208135705</v>
      </c>
    </row>
    <row r="119" spans="1:7">
      <c r="A119" t="str">
        <f>dummy_variable_creation_sheet!A114</f>
        <v>STR-1029</v>
      </c>
      <c r="B119" s="14">
        <f>dummy_variable_creation_sheet!B114</f>
        <v>45658</v>
      </c>
      <c r="C119" t="str">
        <f>dummy_variable_creation_sheet!C114</f>
        <v>West</v>
      </c>
      <c r="D119" t="str">
        <f>dummy_variable_creation_sheet!G114</f>
        <v>Mall</v>
      </c>
      <c r="E119">
        <f>dummy_variable_creation_sheet!S114</f>
        <v>778397.97</v>
      </c>
      <c r="F119">
        <f>multiple_regression_outputs!B145</f>
        <v>740871.83366686443</v>
      </c>
      <c r="G119">
        <f>multiple_regression_outputs!C145</f>
        <v>37526.136333135539</v>
      </c>
    </row>
    <row r="120" spans="1:7">
      <c r="A120" t="str">
        <f>dummy_variable_creation_sheet!A120</f>
        <v>STR-1030</v>
      </c>
      <c r="B120" s="14">
        <f>dummy_variable_creation_sheet!B120</f>
        <v>45717</v>
      </c>
      <c r="C120" t="str">
        <f>dummy_variable_creation_sheet!C120</f>
        <v>West</v>
      </c>
      <c r="D120" t="str">
        <f>dummy_variable_creation_sheet!G120</f>
        <v>Residential</v>
      </c>
      <c r="E120">
        <f>dummy_variable_creation_sheet!S120</f>
        <v>684217.32</v>
      </c>
      <c r="F120">
        <f>multiple_regression_outputs!B151</f>
        <v>739003.42199117434</v>
      </c>
      <c r="G120">
        <f>multiple_regression_outputs!C151</f>
        <v>-54786.101991174393</v>
      </c>
    </row>
    <row r="121" spans="1:7">
      <c r="A121" t="str">
        <f>dummy_variable_creation_sheet!A121</f>
        <v>STR-1030</v>
      </c>
      <c r="B121" s="14">
        <f>dummy_variable_creation_sheet!B121</f>
        <v>45748</v>
      </c>
      <c r="C121" t="str">
        <f>dummy_variable_creation_sheet!C121</f>
        <v>West</v>
      </c>
      <c r="D121" t="str">
        <f>dummy_variable_creation_sheet!G121</f>
        <v>Residential</v>
      </c>
      <c r="E121">
        <f>dummy_variable_creation_sheet!S121</f>
        <v>735480.19</v>
      </c>
      <c r="F121">
        <f>multiple_regression_outputs!B152</f>
        <v>721069.54817274492</v>
      </c>
      <c r="G121">
        <f>multiple_regression_outputs!C152</f>
        <v>14410.641827255022</v>
      </c>
    </row>
    <row r="122" spans="1:7">
      <c r="A122" t="str">
        <f>dummy_variable_creation_sheet!A118</f>
        <v>STR-1030</v>
      </c>
      <c r="B122" s="14">
        <f>dummy_variable_creation_sheet!B118</f>
        <v>45658</v>
      </c>
      <c r="C122" t="str">
        <f>dummy_variable_creation_sheet!C118</f>
        <v>West</v>
      </c>
      <c r="D122" t="str">
        <f>dummy_variable_creation_sheet!G118</f>
        <v>Residential</v>
      </c>
      <c r="E122">
        <f>dummy_variable_creation_sheet!S118</f>
        <v>714942.43</v>
      </c>
      <c r="F122">
        <f>multiple_regression_outputs!B149</f>
        <v>696455.68847505876</v>
      </c>
      <c r="G122">
        <f>multiple_regression_outputs!C149</f>
        <v>18486.741524941288</v>
      </c>
    </row>
    <row r="123" spans="1:7">
      <c r="A123" t="str">
        <f>dummy_variable_creation_sheet!A119</f>
        <v>STR-1030</v>
      </c>
      <c r="B123" s="14">
        <f>dummy_variable_creation_sheet!B119</f>
        <v>45689</v>
      </c>
      <c r="C123" t="str">
        <f>dummy_variable_creation_sheet!C119</f>
        <v>West</v>
      </c>
      <c r="D123" t="str">
        <f>dummy_variable_creation_sheet!G119</f>
        <v>Residential</v>
      </c>
      <c r="E123">
        <f>dummy_variable_creation_sheet!S119</f>
        <v>820519.04</v>
      </c>
      <c r="F123">
        <f>multiple_regression_outputs!B150</f>
        <v>714619.59420682909</v>
      </c>
      <c r="G123">
        <f>multiple_regression_outputs!C150</f>
        <v>105899.44579317095</v>
      </c>
    </row>
    <row r="124" spans="1:7">
      <c r="A124" t="str">
        <f>dummy_variable_creation_sheet!A125</f>
        <v>STR-1031</v>
      </c>
      <c r="B124" s="14">
        <f>dummy_variable_creation_sheet!B125</f>
        <v>45748</v>
      </c>
      <c r="C124" t="str">
        <f>dummy_variable_creation_sheet!C125</f>
        <v>North</v>
      </c>
      <c r="D124" t="str">
        <f>dummy_variable_creation_sheet!G125</f>
        <v>High Street</v>
      </c>
      <c r="E124">
        <f>dummy_variable_creation_sheet!S125</f>
        <v>441275.42</v>
      </c>
      <c r="F124">
        <f>multiple_regression_outputs!B156</f>
        <v>504086.39974100649</v>
      </c>
      <c r="G124">
        <f>multiple_regression_outputs!C156</f>
        <v>-62810.979741006508</v>
      </c>
    </row>
    <row r="125" spans="1:7">
      <c r="A125" t="str">
        <f>dummy_variable_creation_sheet!A122</f>
        <v>STR-1031</v>
      </c>
      <c r="B125" s="14">
        <f>dummy_variable_creation_sheet!B122</f>
        <v>45658</v>
      </c>
      <c r="C125" t="str">
        <f>dummy_variable_creation_sheet!C122</f>
        <v>North</v>
      </c>
      <c r="D125" t="str">
        <f>dummy_variable_creation_sheet!G122</f>
        <v>High Street</v>
      </c>
      <c r="E125">
        <f>dummy_variable_creation_sheet!S122</f>
        <v>509484.81</v>
      </c>
      <c r="F125">
        <f>multiple_regression_outputs!B153</f>
        <v>561697.44122895156</v>
      </c>
      <c r="G125">
        <f>multiple_regression_outputs!C153</f>
        <v>-52212.631228951563</v>
      </c>
    </row>
    <row r="126" spans="1:7">
      <c r="A126" t="str">
        <f>dummy_variable_creation_sheet!A124</f>
        <v>STR-1031</v>
      </c>
      <c r="B126" s="14">
        <f>dummy_variable_creation_sheet!B124</f>
        <v>45717</v>
      </c>
      <c r="C126" t="str">
        <f>dummy_variable_creation_sheet!C124</f>
        <v>North</v>
      </c>
      <c r="D126" t="str">
        <f>dummy_variable_creation_sheet!G124</f>
        <v>High Street</v>
      </c>
      <c r="E126">
        <f>dummy_variable_creation_sheet!S124</f>
        <v>557487.26</v>
      </c>
      <c r="F126">
        <f>multiple_regression_outputs!B155</f>
        <v>595353.59401397069</v>
      </c>
      <c r="G126">
        <f>multiple_regression_outputs!C155</f>
        <v>-37866.334013970685</v>
      </c>
    </row>
    <row r="127" spans="1:7">
      <c r="A127" t="str">
        <f>dummy_variable_creation_sheet!A123</f>
        <v>STR-1031</v>
      </c>
      <c r="B127" s="14">
        <f>dummy_variable_creation_sheet!B123</f>
        <v>45689</v>
      </c>
      <c r="C127" t="str">
        <f>dummy_variable_creation_sheet!C123</f>
        <v>North</v>
      </c>
      <c r="D127" t="str">
        <f>dummy_variable_creation_sheet!G123</f>
        <v>High Street</v>
      </c>
      <c r="E127">
        <f>dummy_variable_creation_sheet!S123</f>
        <v>654317.09</v>
      </c>
      <c r="F127">
        <f>multiple_regression_outputs!B154</f>
        <v>626364.24839789257</v>
      </c>
      <c r="G127">
        <f>multiple_regression_outputs!C154</f>
        <v>27952.841602107394</v>
      </c>
    </row>
    <row r="128" spans="1:7">
      <c r="A128" t="str">
        <f>dummy_variable_creation_sheet!A127</f>
        <v>STR-1032</v>
      </c>
      <c r="B128" s="14">
        <f>dummy_variable_creation_sheet!B127</f>
        <v>45689</v>
      </c>
      <c r="C128" t="str">
        <f>dummy_variable_creation_sheet!C127</f>
        <v>South</v>
      </c>
      <c r="D128" t="str">
        <f>dummy_variable_creation_sheet!G127</f>
        <v>High Street</v>
      </c>
      <c r="E128">
        <f>dummy_variable_creation_sheet!S127</f>
        <v>842439.67</v>
      </c>
      <c r="F128">
        <f>multiple_regression_outputs!B158</f>
        <v>846580.38469237275</v>
      </c>
      <c r="G128">
        <f>multiple_regression_outputs!C158</f>
        <v>-4140.7146923727123</v>
      </c>
    </row>
    <row r="129" spans="1:7">
      <c r="A129" t="str">
        <f>dummy_variable_creation_sheet!A129</f>
        <v>STR-1032</v>
      </c>
      <c r="B129" s="14">
        <f>dummy_variable_creation_sheet!B129</f>
        <v>45748</v>
      </c>
      <c r="C129" t="str">
        <f>dummy_variable_creation_sheet!C129</f>
        <v>South</v>
      </c>
      <c r="D129" t="str">
        <f>dummy_variable_creation_sheet!G129</f>
        <v>High Street</v>
      </c>
      <c r="E129">
        <f>dummy_variable_creation_sheet!S129</f>
        <v>697155.3</v>
      </c>
      <c r="F129">
        <f>multiple_regression_outputs!B160</f>
        <v>696698.62229496497</v>
      </c>
      <c r="G129">
        <f>multiple_regression_outputs!C160</f>
        <v>456.67770503507927</v>
      </c>
    </row>
    <row r="130" spans="1:7">
      <c r="A130" t="str">
        <f>dummy_variable_creation_sheet!A128</f>
        <v>STR-1032</v>
      </c>
      <c r="B130" s="14">
        <f>dummy_variable_creation_sheet!B128</f>
        <v>45717</v>
      </c>
      <c r="C130" t="str">
        <f>dummy_variable_creation_sheet!C128</f>
        <v>South</v>
      </c>
      <c r="D130" t="str">
        <f>dummy_variable_creation_sheet!G128</f>
        <v>High Street</v>
      </c>
      <c r="E130">
        <f>dummy_variable_creation_sheet!S128</f>
        <v>842157.92</v>
      </c>
      <c r="F130">
        <f>multiple_regression_outputs!B159</f>
        <v>777773.48997499095</v>
      </c>
      <c r="G130">
        <f>multiple_regression_outputs!C159</f>
        <v>64384.430025009089</v>
      </c>
    </row>
    <row r="131" spans="1:7">
      <c r="A131" t="str">
        <f>dummy_variable_creation_sheet!A126</f>
        <v>STR-1032</v>
      </c>
      <c r="B131" s="14">
        <f>dummy_variable_creation_sheet!B126</f>
        <v>45658</v>
      </c>
      <c r="C131" t="str">
        <f>dummy_variable_creation_sheet!C126</f>
        <v>South</v>
      </c>
      <c r="D131" t="str">
        <f>dummy_variable_creation_sheet!G126</f>
        <v>High Street</v>
      </c>
      <c r="E131">
        <f>dummy_variable_creation_sheet!S126</f>
        <v>914544.17</v>
      </c>
      <c r="F131">
        <f>multiple_regression_outputs!B157</f>
        <v>815772.72897946555</v>
      </c>
      <c r="G131">
        <f>multiple_regression_outputs!C157</f>
        <v>98771.44102053449</v>
      </c>
    </row>
    <row r="132" spans="1:7">
      <c r="A132" t="str">
        <f>dummy_variable_creation_sheet!A132</f>
        <v>STR-1033</v>
      </c>
      <c r="B132" s="14">
        <f>dummy_variable_creation_sheet!B132</f>
        <v>45717</v>
      </c>
      <c r="C132" t="str">
        <f>dummy_variable_creation_sheet!C132</f>
        <v>East</v>
      </c>
      <c r="D132" t="str">
        <f>dummy_variable_creation_sheet!G132</f>
        <v>High Street</v>
      </c>
      <c r="E132">
        <f>dummy_variable_creation_sheet!S132</f>
        <v>725235.28</v>
      </c>
      <c r="F132">
        <f>multiple_regression_outputs!B163</f>
        <v>792891.13773197844</v>
      </c>
      <c r="G132">
        <f>multiple_regression_outputs!C163</f>
        <v>-67655.857731978409</v>
      </c>
    </row>
    <row r="133" spans="1:7">
      <c r="A133" t="str">
        <f>dummy_variable_creation_sheet!A133</f>
        <v>STR-1033</v>
      </c>
      <c r="B133" s="14">
        <f>dummy_variable_creation_sheet!B133</f>
        <v>45748</v>
      </c>
      <c r="C133" t="str">
        <f>dummy_variable_creation_sheet!C133</f>
        <v>East</v>
      </c>
      <c r="D133" t="str">
        <f>dummy_variable_creation_sheet!G133</f>
        <v>High Street</v>
      </c>
      <c r="E133">
        <f>dummy_variable_creation_sheet!S133</f>
        <v>811452.72</v>
      </c>
      <c r="F133">
        <f>multiple_regression_outputs!B164</f>
        <v>829012.58784580615</v>
      </c>
      <c r="G133">
        <f>multiple_regression_outputs!C164</f>
        <v>-17559.867845806177</v>
      </c>
    </row>
    <row r="134" spans="1:7">
      <c r="A134" t="str">
        <f>dummy_variable_creation_sheet!A131</f>
        <v>STR-1033</v>
      </c>
      <c r="B134" s="14">
        <f>dummy_variable_creation_sheet!B131</f>
        <v>45689</v>
      </c>
      <c r="C134" t="str">
        <f>dummy_variable_creation_sheet!C131</f>
        <v>East</v>
      </c>
      <c r="D134" t="str">
        <f>dummy_variable_creation_sheet!G131</f>
        <v>High Street</v>
      </c>
      <c r="E134">
        <f>dummy_variable_creation_sheet!S131</f>
        <v>801830.35</v>
      </c>
      <c r="F134">
        <f>multiple_regression_outputs!B162</f>
        <v>804854.621952708</v>
      </c>
      <c r="G134">
        <f>multiple_regression_outputs!C162</f>
        <v>-3024.2719527080189</v>
      </c>
    </row>
    <row r="135" spans="1:7">
      <c r="A135" t="str">
        <f>dummy_variable_creation_sheet!A130</f>
        <v>STR-1033</v>
      </c>
      <c r="B135" s="14">
        <f>dummy_variable_creation_sheet!B130</f>
        <v>45658</v>
      </c>
      <c r="C135" t="str">
        <f>dummy_variable_creation_sheet!C130</f>
        <v>East</v>
      </c>
      <c r="D135" t="str">
        <f>dummy_variable_creation_sheet!G130</f>
        <v>High Street</v>
      </c>
      <c r="E135">
        <f>dummy_variable_creation_sheet!S130</f>
        <v>849018.3</v>
      </c>
      <c r="F135">
        <f>multiple_regression_outputs!B161</f>
        <v>828215.64988395106</v>
      </c>
      <c r="G135">
        <f>multiple_regression_outputs!C161</f>
        <v>20802.650116048986</v>
      </c>
    </row>
    <row r="136" spans="1:7">
      <c r="A136" t="str">
        <f>dummy_variable_creation_sheet!A135</f>
        <v>STR-1034</v>
      </c>
      <c r="B136" s="14">
        <f>dummy_variable_creation_sheet!B135</f>
        <v>45689</v>
      </c>
      <c r="C136" t="str">
        <f>dummy_variable_creation_sheet!C135</f>
        <v>North</v>
      </c>
      <c r="D136" t="str">
        <f>dummy_variable_creation_sheet!G135</f>
        <v>High Street</v>
      </c>
      <c r="E136">
        <f>dummy_variable_creation_sheet!S135</f>
        <v>400831.65</v>
      </c>
      <c r="F136">
        <f>multiple_regression_outputs!B166</f>
        <v>455553.71157041111</v>
      </c>
      <c r="G136">
        <f>multiple_regression_outputs!C166</f>
        <v>-54722.061570411082</v>
      </c>
    </row>
    <row r="137" spans="1:7">
      <c r="A137" t="str">
        <f>dummy_variable_creation_sheet!A134</f>
        <v>STR-1034</v>
      </c>
      <c r="B137" s="14">
        <f>dummy_variable_creation_sheet!B134</f>
        <v>45658</v>
      </c>
      <c r="C137" t="str">
        <f>dummy_variable_creation_sheet!C134</f>
        <v>North</v>
      </c>
      <c r="D137" t="str">
        <f>dummy_variable_creation_sheet!G134</f>
        <v>High Street</v>
      </c>
      <c r="E137">
        <f>dummy_variable_creation_sheet!S134</f>
        <v>527300.13</v>
      </c>
      <c r="F137">
        <f>multiple_regression_outputs!B165</f>
        <v>580411.29785714881</v>
      </c>
      <c r="G137">
        <f>multiple_regression_outputs!C165</f>
        <v>-53111.167857148801</v>
      </c>
    </row>
    <row r="138" spans="1:7">
      <c r="A138" t="str">
        <f>dummy_variable_creation_sheet!A137</f>
        <v>STR-1034</v>
      </c>
      <c r="B138" s="14">
        <f>dummy_variable_creation_sheet!B137</f>
        <v>45748</v>
      </c>
      <c r="C138" t="str">
        <f>dummy_variable_creation_sheet!C137</f>
        <v>North</v>
      </c>
      <c r="D138" t="str">
        <f>dummy_variable_creation_sheet!G137</f>
        <v>High Street</v>
      </c>
      <c r="E138">
        <f>dummy_variable_creation_sheet!S137</f>
        <v>529075.94999999995</v>
      </c>
      <c r="F138">
        <f>multiple_regression_outputs!B168</f>
        <v>543792.62299916882</v>
      </c>
      <c r="G138">
        <f>multiple_regression_outputs!C168</f>
        <v>-14716.672999168863</v>
      </c>
    </row>
    <row r="139" spans="1:7">
      <c r="A139" t="str">
        <f>dummy_variable_creation_sheet!A136</f>
        <v>STR-1034</v>
      </c>
      <c r="B139" s="14">
        <f>dummy_variable_creation_sheet!B136</f>
        <v>45717</v>
      </c>
      <c r="C139" t="str">
        <f>dummy_variable_creation_sheet!C136</f>
        <v>North</v>
      </c>
      <c r="D139" t="str">
        <f>dummy_variable_creation_sheet!G136</f>
        <v>High Street</v>
      </c>
      <c r="E139">
        <f>dummy_variable_creation_sheet!S136</f>
        <v>593247.25</v>
      </c>
      <c r="F139">
        <f>multiple_regression_outputs!B167</f>
        <v>601496.90674668178</v>
      </c>
      <c r="G139">
        <f>multiple_regression_outputs!C167</f>
        <v>-8249.6567466817796</v>
      </c>
    </row>
    <row r="140" spans="1:7">
      <c r="A140" t="str">
        <f>dummy_variable_creation_sheet!A138</f>
        <v>STR-1035</v>
      </c>
      <c r="B140" s="14">
        <f>dummy_variable_creation_sheet!B138</f>
        <v>45658</v>
      </c>
      <c r="C140" t="str">
        <f>dummy_variable_creation_sheet!C138</f>
        <v>South</v>
      </c>
      <c r="D140" t="str">
        <f>dummy_variable_creation_sheet!G138</f>
        <v>Residential</v>
      </c>
      <c r="E140">
        <f>dummy_variable_creation_sheet!S138</f>
        <v>633638.03</v>
      </c>
      <c r="F140">
        <f>multiple_regression_outputs!B169</f>
        <v>700571.53691012226</v>
      </c>
      <c r="G140">
        <f>multiple_regression_outputs!C169</f>
        <v>-66933.506910122233</v>
      </c>
    </row>
    <row r="141" spans="1:7">
      <c r="A141" t="str">
        <f>dummy_variable_creation_sheet!A141</f>
        <v>STR-1035</v>
      </c>
      <c r="B141" s="14">
        <f>dummy_variable_creation_sheet!B141</f>
        <v>45748</v>
      </c>
      <c r="C141" t="str">
        <f>dummy_variable_creation_sheet!C141</f>
        <v>South</v>
      </c>
      <c r="D141" t="str">
        <f>dummy_variable_creation_sheet!G141</f>
        <v>Residential</v>
      </c>
      <c r="E141">
        <f>dummy_variable_creation_sheet!S141</f>
        <v>646559.71</v>
      </c>
      <c r="F141">
        <f>multiple_regression_outputs!B172</f>
        <v>614931.91037800279</v>
      </c>
      <c r="G141">
        <f>multiple_regression_outputs!C172</f>
        <v>31627.799621997168</v>
      </c>
    </row>
    <row r="142" spans="1:7">
      <c r="A142" t="str">
        <f>dummy_variable_creation_sheet!A139</f>
        <v>STR-1035</v>
      </c>
      <c r="B142" s="14">
        <f>dummy_variable_creation_sheet!B139</f>
        <v>45689</v>
      </c>
      <c r="C142" t="str">
        <f>dummy_variable_creation_sheet!C139</f>
        <v>South</v>
      </c>
      <c r="D142" t="str">
        <f>dummy_variable_creation_sheet!G139</f>
        <v>Residential</v>
      </c>
      <c r="E142">
        <f>dummy_variable_creation_sheet!S139</f>
        <v>743348.84</v>
      </c>
      <c r="F142">
        <f>multiple_regression_outputs!B170</f>
        <v>702438.53632032569</v>
      </c>
      <c r="G142">
        <f>multiple_regression_outputs!C170</f>
        <v>40910.303679674282</v>
      </c>
    </row>
    <row r="143" spans="1:7">
      <c r="A143" t="str">
        <f>dummy_variable_creation_sheet!A140</f>
        <v>STR-1035</v>
      </c>
      <c r="B143" s="14">
        <f>dummy_variable_creation_sheet!B140</f>
        <v>45717</v>
      </c>
      <c r="C143" t="str">
        <f>dummy_variable_creation_sheet!C140</f>
        <v>South</v>
      </c>
      <c r="D143" t="str">
        <f>dummy_variable_creation_sheet!G140</f>
        <v>Residential</v>
      </c>
      <c r="E143">
        <f>dummy_variable_creation_sheet!S140</f>
        <v>758827.64</v>
      </c>
      <c r="F143">
        <f>multiple_regression_outputs!B171</f>
        <v>683716.486883873</v>
      </c>
      <c r="G143">
        <f>multiple_regression_outputs!C171</f>
        <v>75111.15311612701</v>
      </c>
    </row>
    <row r="144" spans="1:7">
      <c r="A144" t="str">
        <f>dummy_variable_creation_sheet!A143</f>
        <v>STR-1036</v>
      </c>
      <c r="B144" s="14">
        <f>dummy_variable_creation_sheet!B143</f>
        <v>45689</v>
      </c>
      <c r="C144" t="str">
        <f>dummy_variable_creation_sheet!C143</f>
        <v>West</v>
      </c>
      <c r="D144" t="str">
        <f>dummy_variable_creation_sheet!G143</f>
        <v>High Street</v>
      </c>
      <c r="E144">
        <f>dummy_variable_creation_sheet!S143</f>
        <v>715097.57</v>
      </c>
      <c r="F144">
        <f>multiple_regression_outputs!B174</f>
        <v>696344.05387792084</v>
      </c>
      <c r="G144">
        <f>multiple_regression_outputs!C174</f>
        <v>18753.516122079105</v>
      </c>
    </row>
    <row r="145" spans="1:7">
      <c r="A145" t="str">
        <f>dummy_variable_creation_sheet!A145</f>
        <v>STR-1036</v>
      </c>
      <c r="B145" s="14">
        <f>dummy_variable_creation_sheet!B145</f>
        <v>45748</v>
      </c>
      <c r="C145" t="str">
        <f>dummy_variable_creation_sheet!C145</f>
        <v>West</v>
      </c>
      <c r="D145" t="str">
        <f>dummy_variable_creation_sheet!G145</f>
        <v>High Street</v>
      </c>
      <c r="E145">
        <f>dummy_variable_creation_sheet!S145</f>
        <v>695098.51</v>
      </c>
      <c r="F145">
        <f>multiple_regression_outputs!B176</f>
        <v>671790.57250340772</v>
      </c>
      <c r="G145">
        <f>multiple_regression_outputs!C176</f>
        <v>23307.937496592291</v>
      </c>
    </row>
    <row r="146" spans="1:7">
      <c r="A146" t="str">
        <f>dummy_variable_creation_sheet!A144</f>
        <v>STR-1036</v>
      </c>
      <c r="B146" s="14">
        <f>dummy_variable_creation_sheet!B144</f>
        <v>45717</v>
      </c>
      <c r="C146" t="str">
        <f>dummy_variable_creation_sheet!C144</f>
        <v>West</v>
      </c>
      <c r="D146" t="str">
        <f>dummy_variable_creation_sheet!G144</f>
        <v>High Street</v>
      </c>
      <c r="E146">
        <f>dummy_variable_creation_sheet!S144</f>
        <v>682639.28</v>
      </c>
      <c r="F146">
        <f>multiple_regression_outputs!B175</f>
        <v>639811.51248028665</v>
      </c>
      <c r="G146">
        <f>multiple_regression_outputs!C175</f>
        <v>42827.767519713379</v>
      </c>
    </row>
    <row r="147" spans="1:7">
      <c r="A147" t="str">
        <f>dummy_variable_creation_sheet!A142</f>
        <v>STR-1036</v>
      </c>
      <c r="B147" s="14">
        <f>dummy_variable_creation_sheet!B142</f>
        <v>45658</v>
      </c>
      <c r="C147" t="str">
        <f>dummy_variable_creation_sheet!C142</f>
        <v>West</v>
      </c>
      <c r="D147" t="str">
        <f>dummy_variable_creation_sheet!G142</f>
        <v>High Street</v>
      </c>
      <c r="E147">
        <f>dummy_variable_creation_sheet!S142</f>
        <v>715890.53</v>
      </c>
      <c r="F147">
        <f>multiple_regression_outputs!B173</f>
        <v>665935.15049993643</v>
      </c>
      <c r="G147">
        <f>multiple_regression_outputs!C173</f>
        <v>49955.379500063602</v>
      </c>
    </row>
    <row r="148" spans="1:7">
      <c r="A148" t="str">
        <f>dummy_variable_creation_sheet!A146</f>
        <v>STR-1037</v>
      </c>
      <c r="B148" s="14">
        <f>dummy_variable_creation_sheet!B146</f>
        <v>45658</v>
      </c>
      <c r="C148" t="str">
        <f>dummy_variable_creation_sheet!C146</f>
        <v>North</v>
      </c>
      <c r="D148" t="str">
        <f>dummy_variable_creation_sheet!G146</f>
        <v>Residential</v>
      </c>
      <c r="E148">
        <f>dummy_variable_creation_sheet!S146</f>
        <v>577732.56999999995</v>
      </c>
      <c r="F148">
        <f>multiple_regression_outputs!B177</f>
        <v>608402.44882794796</v>
      </c>
      <c r="G148">
        <f>multiple_regression_outputs!C177</f>
        <v>-30669.878827948007</v>
      </c>
    </row>
    <row r="149" spans="1:7">
      <c r="A149" t="str">
        <f>dummy_variable_creation_sheet!A147</f>
        <v>STR-1037</v>
      </c>
      <c r="B149" s="14">
        <f>dummy_variable_creation_sheet!B147</f>
        <v>45689</v>
      </c>
      <c r="C149" t="str">
        <f>dummy_variable_creation_sheet!C147</f>
        <v>North</v>
      </c>
      <c r="D149" t="str">
        <f>dummy_variable_creation_sheet!G147</f>
        <v>Residential</v>
      </c>
      <c r="E149">
        <f>dummy_variable_creation_sheet!S147</f>
        <v>537058.32999999996</v>
      </c>
      <c r="F149">
        <f>multiple_regression_outputs!B178</f>
        <v>563459.18738029711</v>
      </c>
      <c r="G149">
        <f>multiple_regression_outputs!C178</f>
        <v>-26400.857380297151</v>
      </c>
    </row>
    <row r="150" spans="1:7">
      <c r="A150" t="str">
        <f>dummy_variable_creation_sheet!A148</f>
        <v>STR-1037</v>
      </c>
      <c r="B150" s="14">
        <f>dummy_variable_creation_sheet!B148</f>
        <v>45717</v>
      </c>
      <c r="C150" t="str">
        <f>dummy_variable_creation_sheet!C148</f>
        <v>North</v>
      </c>
      <c r="D150" t="str">
        <f>dummy_variable_creation_sheet!G148</f>
        <v>Residential</v>
      </c>
      <c r="E150">
        <f>dummy_variable_creation_sheet!S148</f>
        <v>601568.87</v>
      </c>
      <c r="F150">
        <f>multiple_regression_outputs!B179</f>
        <v>597915.92114238301</v>
      </c>
      <c r="G150">
        <f>multiple_regression_outputs!C179</f>
        <v>3652.9488576169824</v>
      </c>
    </row>
    <row r="151" spans="1:7">
      <c r="A151" t="str">
        <f>dummy_variable_creation_sheet!A149</f>
        <v>STR-1037</v>
      </c>
      <c r="B151" s="14">
        <f>dummy_variable_creation_sheet!B149</f>
        <v>45748</v>
      </c>
      <c r="C151" t="str">
        <f>dummy_variable_creation_sheet!C149</f>
        <v>North</v>
      </c>
      <c r="D151" t="str">
        <f>dummy_variable_creation_sheet!G149</f>
        <v>Residential</v>
      </c>
      <c r="E151">
        <f>dummy_variable_creation_sheet!S149</f>
        <v>570964.84</v>
      </c>
      <c r="F151">
        <f>multiple_regression_outputs!B180</f>
        <v>565362.33581267786</v>
      </c>
      <c r="G151">
        <f>multiple_regression_outputs!C180</f>
        <v>5602.5041873221053</v>
      </c>
    </row>
    <row r="152" spans="1:7">
      <c r="A152" t="str">
        <f>dummy_variable_creation_sheet!A150</f>
        <v>STR-1038</v>
      </c>
      <c r="B152" s="14">
        <f>dummy_variable_creation_sheet!B150</f>
        <v>45658</v>
      </c>
      <c r="C152" t="str">
        <f>dummy_variable_creation_sheet!C150</f>
        <v>South</v>
      </c>
      <c r="D152" t="str">
        <f>dummy_variable_creation_sheet!G150</f>
        <v>Mall</v>
      </c>
      <c r="E152">
        <f>dummy_variable_creation_sheet!S150</f>
        <v>614024.91</v>
      </c>
      <c r="F152">
        <f>multiple_regression_outputs!B181</f>
        <v>649491.87917364947</v>
      </c>
      <c r="G152">
        <f>multiple_regression_outputs!C181</f>
        <v>-35466.969173649442</v>
      </c>
    </row>
    <row r="153" spans="1:7">
      <c r="A153" t="str">
        <f>dummy_variable_creation_sheet!A151</f>
        <v>STR-1038</v>
      </c>
      <c r="B153" s="14">
        <f>dummy_variable_creation_sheet!B151</f>
        <v>45689</v>
      </c>
      <c r="C153" t="str">
        <f>dummy_variable_creation_sheet!C151</f>
        <v>South</v>
      </c>
      <c r="D153" t="str">
        <f>dummy_variable_creation_sheet!G151</f>
        <v>Mall</v>
      </c>
      <c r="E153">
        <f>dummy_variable_creation_sheet!S151</f>
        <v>712868.35</v>
      </c>
      <c r="F153">
        <f>multiple_regression_outputs!B182</f>
        <v>713897.57103115879</v>
      </c>
      <c r="G153">
        <f>multiple_regression_outputs!C182</f>
        <v>-1029.2210311588133</v>
      </c>
    </row>
    <row r="154" spans="1:7">
      <c r="A154" t="str">
        <f>dummy_variable_creation_sheet!A153</f>
        <v>STR-1038</v>
      </c>
      <c r="B154" s="14">
        <f>dummy_variable_creation_sheet!B153</f>
        <v>45748</v>
      </c>
      <c r="C154" t="str">
        <f>dummy_variable_creation_sheet!C153</f>
        <v>South</v>
      </c>
      <c r="D154" t="str">
        <f>dummy_variable_creation_sheet!G153</f>
        <v>Mall</v>
      </c>
      <c r="E154">
        <f>dummy_variable_creation_sheet!S153</f>
        <v>725847.99</v>
      </c>
      <c r="F154">
        <f>multiple_regression_outputs!B184</f>
        <v>702489.36428745522</v>
      </c>
      <c r="G154">
        <f>multiple_regression_outputs!C184</f>
        <v>23358.625712544774</v>
      </c>
    </row>
    <row r="155" spans="1:7">
      <c r="A155" t="str">
        <f>dummy_variable_creation_sheet!A152</f>
        <v>STR-1038</v>
      </c>
      <c r="B155" s="14">
        <f>dummy_variable_creation_sheet!B152</f>
        <v>45717</v>
      </c>
      <c r="C155" t="str">
        <f>dummy_variable_creation_sheet!C152</f>
        <v>South</v>
      </c>
      <c r="D155" t="str">
        <f>dummy_variable_creation_sheet!G152</f>
        <v>Mall</v>
      </c>
      <c r="E155">
        <f>dummy_variable_creation_sheet!S152</f>
        <v>696744.15</v>
      </c>
      <c r="F155">
        <f>multiple_regression_outputs!B183</f>
        <v>669293.26942553371</v>
      </c>
      <c r="G155">
        <f>multiple_regression_outputs!C183</f>
        <v>27450.880574466311</v>
      </c>
    </row>
    <row r="156" spans="1:7">
      <c r="A156" t="str">
        <f>dummy_variable_creation_sheet!A156</f>
        <v>STR-1039</v>
      </c>
      <c r="B156" s="14">
        <f>dummy_variable_creation_sheet!B156</f>
        <v>45717</v>
      </c>
      <c r="C156" t="str">
        <f>dummy_variable_creation_sheet!C156</f>
        <v>East</v>
      </c>
      <c r="D156" t="str">
        <f>dummy_variable_creation_sheet!G156</f>
        <v>High Street</v>
      </c>
      <c r="E156">
        <f>dummy_variable_creation_sheet!S156</f>
        <v>685830.24</v>
      </c>
      <c r="F156">
        <f>multiple_regression_outputs!B187</f>
        <v>730247.63608391269</v>
      </c>
      <c r="G156">
        <f>multiple_regression_outputs!C187</f>
        <v>-44417.396083912696</v>
      </c>
    </row>
    <row r="157" spans="1:7">
      <c r="A157" t="str">
        <f>dummy_variable_creation_sheet!A154</f>
        <v>STR-1039</v>
      </c>
      <c r="B157" s="14">
        <f>dummy_variable_creation_sheet!B154</f>
        <v>45658</v>
      </c>
      <c r="C157" t="str">
        <f>dummy_variable_creation_sheet!C154</f>
        <v>East</v>
      </c>
      <c r="D157" t="str">
        <f>dummy_variable_creation_sheet!G154</f>
        <v>High Street</v>
      </c>
      <c r="E157">
        <f>dummy_variable_creation_sheet!S154</f>
        <v>785028.25</v>
      </c>
      <c r="F157">
        <f>multiple_regression_outputs!B185</f>
        <v>799264.11768086487</v>
      </c>
      <c r="G157">
        <f>multiple_regression_outputs!C185</f>
        <v>-14235.867680864874</v>
      </c>
    </row>
    <row r="158" spans="1:7">
      <c r="A158" t="str">
        <f>dummy_variable_creation_sheet!A157</f>
        <v>STR-1039</v>
      </c>
      <c r="B158" s="14">
        <f>dummy_variable_creation_sheet!B157</f>
        <v>45748</v>
      </c>
      <c r="C158" t="str">
        <f>dummy_variable_creation_sheet!C157</f>
        <v>East</v>
      </c>
      <c r="D158" t="str">
        <f>dummy_variable_creation_sheet!G157</f>
        <v>High Street</v>
      </c>
      <c r="E158">
        <f>dummy_variable_creation_sheet!S157</f>
        <v>702318.94</v>
      </c>
      <c r="F158">
        <f>multiple_regression_outputs!B188</f>
        <v>705047.83711248636</v>
      </c>
      <c r="G158">
        <f>multiple_regression_outputs!C188</f>
        <v>-2728.8971124864183</v>
      </c>
    </row>
    <row r="159" spans="1:7">
      <c r="A159" t="str">
        <f>dummy_variable_creation_sheet!A155</f>
        <v>STR-1039</v>
      </c>
      <c r="B159" s="14">
        <f>dummy_variable_creation_sheet!B155</f>
        <v>45689</v>
      </c>
      <c r="C159" t="str">
        <f>dummy_variable_creation_sheet!C155</f>
        <v>East</v>
      </c>
      <c r="D159" t="str">
        <f>dummy_variable_creation_sheet!G155</f>
        <v>High Street</v>
      </c>
      <c r="E159">
        <f>dummy_variable_creation_sheet!S155</f>
        <v>698492.67</v>
      </c>
      <c r="F159">
        <f>multiple_regression_outputs!B186</f>
        <v>689986.46280879085</v>
      </c>
      <c r="G159">
        <f>multiple_regression_outputs!C186</f>
        <v>8506.2071912091924</v>
      </c>
    </row>
    <row r="160" spans="1:7">
      <c r="A160" t="str">
        <f>dummy_variable_creation_sheet!A159</f>
        <v>STR-1040</v>
      </c>
      <c r="B160" s="14">
        <f>dummy_variable_creation_sheet!B159</f>
        <v>45689</v>
      </c>
      <c r="C160" t="str">
        <f>dummy_variable_creation_sheet!C159</f>
        <v>North</v>
      </c>
      <c r="D160" t="str">
        <f>dummy_variable_creation_sheet!G159</f>
        <v>Mall</v>
      </c>
      <c r="E160">
        <f>dummy_variable_creation_sheet!S159</f>
        <v>602002.31999999995</v>
      </c>
      <c r="F160">
        <f>multiple_regression_outputs!B190</f>
        <v>647118.57615119347</v>
      </c>
      <c r="G160">
        <f>multiple_regression_outputs!C190</f>
        <v>-45116.25615119352</v>
      </c>
    </row>
    <row r="161" spans="1:7">
      <c r="A161" t="str">
        <f>dummy_variable_creation_sheet!A158</f>
        <v>STR-1040</v>
      </c>
      <c r="B161" s="14">
        <f>dummy_variable_creation_sheet!B158</f>
        <v>45658</v>
      </c>
      <c r="C161" t="str">
        <f>dummy_variable_creation_sheet!C158</f>
        <v>North</v>
      </c>
      <c r="D161" t="str">
        <f>dummy_variable_creation_sheet!G158</f>
        <v>Mall</v>
      </c>
      <c r="E161">
        <f>dummy_variable_creation_sheet!S158</f>
        <v>700078.32</v>
      </c>
      <c r="F161">
        <f>multiple_regression_outputs!B189</f>
        <v>718212.52033323073</v>
      </c>
      <c r="G161">
        <f>multiple_regression_outputs!C189</f>
        <v>-18134.20033323078</v>
      </c>
    </row>
    <row r="162" spans="1:7">
      <c r="A162" t="str">
        <f>dummy_variable_creation_sheet!A161</f>
        <v>STR-1040</v>
      </c>
      <c r="B162" s="14">
        <f>dummy_variable_creation_sheet!B161</f>
        <v>45748</v>
      </c>
      <c r="C162" t="str">
        <f>dummy_variable_creation_sheet!C161</f>
        <v>North</v>
      </c>
      <c r="D162" t="str">
        <f>dummy_variable_creation_sheet!G161</f>
        <v>Mall</v>
      </c>
      <c r="E162">
        <f>dummy_variable_creation_sheet!S161</f>
        <v>620973.03</v>
      </c>
      <c r="F162">
        <f>multiple_regression_outputs!B192</f>
        <v>574699.90594891889</v>
      </c>
      <c r="G162">
        <f>multiple_regression_outputs!C192</f>
        <v>46273.124051081133</v>
      </c>
    </row>
    <row r="163" spans="1:7">
      <c r="A163" t="str">
        <f>dummy_variable_creation_sheet!A160</f>
        <v>STR-1040</v>
      </c>
      <c r="B163" s="14">
        <f>dummy_variable_creation_sheet!B160</f>
        <v>45717</v>
      </c>
      <c r="C163" t="str">
        <f>dummy_variable_creation_sheet!C160</f>
        <v>North</v>
      </c>
      <c r="D163" t="str">
        <f>dummy_variable_creation_sheet!G160</f>
        <v>Mall</v>
      </c>
      <c r="E163">
        <f>dummy_variable_creation_sheet!S160</f>
        <v>724216.07</v>
      </c>
      <c r="F163">
        <f>multiple_regression_outputs!B191</f>
        <v>664219.85880111868</v>
      </c>
      <c r="G163">
        <f>multiple_regression_outputs!C191</f>
        <v>59996.211198881269</v>
      </c>
    </row>
    <row r="164" spans="1:7">
      <c r="A164" t="str">
        <f>dummy_variable_creation_sheet!A162</f>
        <v>STR-1041</v>
      </c>
      <c r="B164" s="14">
        <f>dummy_variable_creation_sheet!B162</f>
        <v>45658</v>
      </c>
      <c r="C164" t="str">
        <f>dummy_variable_creation_sheet!C162</f>
        <v>South</v>
      </c>
      <c r="D164" t="str">
        <f>dummy_variable_creation_sheet!G162</f>
        <v>High Street</v>
      </c>
      <c r="E164">
        <f>dummy_variable_creation_sheet!S162</f>
        <v>650480.06000000006</v>
      </c>
      <c r="F164">
        <f>multiple_regression_outputs!B193</f>
        <v>696280.37945891218</v>
      </c>
      <c r="G164">
        <f>multiple_regression_outputs!C193</f>
        <v>-45800.319458912127</v>
      </c>
    </row>
    <row r="165" spans="1:7">
      <c r="A165" t="str">
        <f>dummy_variable_creation_sheet!A165</f>
        <v>STR-1041</v>
      </c>
      <c r="B165" s="14">
        <f>dummy_variable_creation_sheet!B165</f>
        <v>45748</v>
      </c>
      <c r="C165" t="str">
        <f>dummy_variable_creation_sheet!C165</f>
        <v>South</v>
      </c>
      <c r="D165" t="str">
        <f>dummy_variable_creation_sheet!G165</f>
        <v>High Street</v>
      </c>
      <c r="E165">
        <f>dummy_variable_creation_sheet!S165</f>
        <v>692008.64</v>
      </c>
      <c r="F165">
        <f>multiple_regression_outputs!B196</f>
        <v>695781.9508931837</v>
      </c>
      <c r="G165">
        <f>multiple_regression_outputs!C196</f>
        <v>-3773.3108931836905</v>
      </c>
    </row>
    <row r="166" spans="1:7">
      <c r="A166" t="str">
        <f>dummy_variable_creation_sheet!A164</f>
        <v>STR-1041</v>
      </c>
      <c r="B166" s="14">
        <f>dummy_variable_creation_sheet!B164</f>
        <v>45717</v>
      </c>
      <c r="C166" t="str">
        <f>dummy_variable_creation_sheet!C164</f>
        <v>South</v>
      </c>
      <c r="D166" t="str">
        <f>dummy_variable_creation_sheet!G164</f>
        <v>High Street</v>
      </c>
      <c r="E166">
        <f>dummy_variable_creation_sheet!S164</f>
        <v>677096.71</v>
      </c>
      <c r="F166">
        <f>multiple_regression_outputs!B195</f>
        <v>680623.33907309291</v>
      </c>
      <c r="G166">
        <f>multiple_regression_outputs!C195</f>
        <v>-3526.6290730929468</v>
      </c>
    </row>
    <row r="167" spans="1:7">
      <c r="A167" t="str">
        <f>dummy_variable_creation_sheet!A163</f>
        <v>STR-1041</v>
      </c>
      <c r="B167" s="14">
        <f>dummy_variable_creation_sheet!B163</f>
        <v>45689</v>
      </c>
      <c r="C167" t="str">
        <f>dummy_variable_creation_sheet!C163</f>
        <v>South</v>
      </c>
      <c r="D167" t="str">
        <f>dummy_variable_creation_sheet!G163</f>
        <v>High Street</v>
      </c>
      <c r="E167">
        <f>dummy_variable_creation_sheet!S163</f>
        <v>778298.88</v>
      </c>
      <c r="F167">
        <f>multiple_regression_outputs!B194</f>
        <v>699855.80576039443</v>
      </c>
      <c r="G167">
        <f>multiple_regression_outputs!C194</f>
        <v>78443.074239605572</v>
      </c>
    </row>
    <row r="168" spans="1:7">
      <c r="A168" t="str">
        <f>dummy_variable_creation_sheet!A167</f>
        <v>STR-1042</v>
      </c>
      <c r="B168" s="14">
        <f>dummy_variable_creation_sheet!B167</f>
        <v>45689</v>
      </c>
      <c r="C168" t="str">
        <f>dummy_variable_creation_sheet!C167</f>
        <v>North</v>
      </c>
      <c r="D168" t="str">
        <f>dummy_variable_creation_sheet!G167</f>
        <v>Mall</v>
      </c>
      <c r="E168">
        <f>dummy_variable_creation_sheet!S167</f>
        <v>706285.52</v>
      </c>
      <c r="F168">
        <f>multiple_regression_outputs!B198</f>
        <v>736525.00376054249</v>
      </c>
      <c r="G168">
        <f>multiple_regression_outputs!C198</f>
        <v>-30239.483760542469</v>
      </c>
    </row>
    <row r="169" spans="1:7">
      <c r="A169" t="str">
        <f>dummy_variable_creation_sheet!A168</f>
        <v>STR-1042</v>
      </c>
      <c r="B169" s="14">
        <f>dummy_variable_creation_sheet!B168</f>
        <v>45717</v>
      </c>
      <c r="C169" t="str">
        <f>dummy_variable_creation_sheet!C168</f>
        <v>North</v>
      </c>
      <c r="D169" t="str">
        <f>dummy_variable_creation_sheet!G168</f>
        <v>Mall</v>
      </c>
      <c r="E169">
        <f>dummy_variable_creation_sheet!S168</f>
        <v>665534.69999999995</v>
      </c>
      <c r="F169">
        <f>multiple_regression_outputs!B199</f>
        <v>682966.12014389073</v>
      </c>
      <c r="G169">
        <f>multiple_regression_outputs!C199</f>
        <v>-17431.420143890777</v>
      </c>
    </row>
    <row r="170" spans="1:7">
      <c r="A170" t="str">
        <f>dummy_variable_creation_sheet!A169</f>
        <v>STR-1042</v>
      </c>
      <c r="B170" s="14">
        <f>dummy_variable_creation_sheet!B169</f>
        <v>45748</v>
      </c>
      <c r="C170" t="str">
        <f>dummy_variable_creation_sheet!C169</f>
        <v>North</v>
      </c>
      <c r="D170" t="str">
        <f>dummy_variable_creation_sheet!G169</f>
        <v>Mall</v>
      </c>
      <c r="E170">
        <f>dummy_variable_creation_sheet!S169</f>
        <v>820729.29</v>
      </c>
      <c r="F170">
        <f>multiple_regression_outputs!B200</f>
        <v>817833.83398456522</v>
      </c>
      <c r="G170">
        <f>multiple_regression_outputs!C200</f>
        <v>2895.4560154348146</v>
      </c>
    </row>
    <row r="171" spans="1:7">
      <c r="A171" t="str">
        <f>dummy_variable_creation_sheet!A166</f>
        <v>STR-1042</v>
      </c>
      <c r="B171" s="14">
        <f>dummy_variable_creation_sheet!B166</f>
        <v>45658</v>
      </c>
      <c r="C171" t="str">
        <f>dummy_variable_creation_sheet!C166</f>
        <v>North</v>
      </c>
      <c r="D171" t="str">
        <f>dummy_variable_creation_sheet!G166</f>
        <v>Mall</v>
      </c>
      <c r="E171">
        <f>dummy_variable_creation_sheet!S166</f>
        <v>825797.91</v>
      </c>
      <c r="F171">
        <f>multiple_regression_outputs!B197</f>
        <v>785839.84856790444</v>
      </c>
      <c r="G171">
        <f>multiple_regression_outputs!C197</f>
        <v>39958.061432095594</v>
      </c>
    </row>
    <row r="172" spans="1:7">
      <c r="A172" t="str">
        <f>dummy_variable_creation_sheet!A171</f>
        <v>STR-1043</v>
      </c>
      <c r="B172" s="14">
        <f>dummy_variable_creation_sheet!B171</f>
        <v>45689</v>
      </c>
      <c r="C172" t="str">
        <f>dummy_variable_creation_sheet!C171</f>
        <v>East</v>
      </c>
      <c r="D172" t="str">
        <f>dummy_variable_creation_sheet!G171</f>
        <v>Residential</v>
      </c>
      <c r="E172">
        <f>dummy_variable_creation_sheet!S171</f>
        <v>593637.14</v>
      </c>
      <c r="F172">
        <f>multiple_regression_outputs!B202</f>
        <v>660215.084748897</v>
      </c>
      <c r="G172">
        <f>multiple_regression_outputs!C202</f>
        <v>-66577.944748896989</v>
      </c>
    </row>
    <row r="173" spans="1:7">
      <c r="A173" t="str">
        <f>dummy_variable_creation_sheet!A170</f>
        <v>STR-1043</v>
      </c>
      <c r="B173" s="14">
        <f>dummy_variable_creation_sheet!B170</f>
        <v>45658</v>
      </c>
      <c r="C173" t="str">
        <f>dummy_variable_creation_sheet!C170</f>
        <v>East</v>
      </c>
      <c r="D173" t="str">
        <f>dummy_variable_creation_sheet!G170</f>
        <v>Residential</v>
      </c>
      <c r="E173">
        <f>dummy_variable_creation_sheet!S170</f>
        <v>739831.73</v>
      </c>
      <c r="F173">
        <f>multiple_regression_outputs!B201</f>
        <v>761628.38354814495</v>
      </c>
      <c r="G173">
        <f>multiple_regression_outputs!C201</f>
        <v>-21796.653548144968</v>
      </c>
    </row>
    <row r="174" spans="1:7">
      <c r="A174" t="str">
        <f>dummy_variable_creation_sheet!A173</f>
        <v>STR-1043</v>
      </c>
      <c r="B174" s="14">
        <f>dummy_variable_creation_sheet!B173</f>
        <v>45748</v>
      </c>
      <c r="C174" t="str">
        <f>dummy_variable_creation_sheet!C173</f>
        <v>East</v>
      </c>
      <c r="D174" t="str">
        <f>dummy_variable_creation_sheet!G173</f>
        <v>Residential</v>
      </c>
      <c r="E174">
        <f>dummy_variable_creation_sheet!S173</f>
        <v>679731.57</v>
      </c>
      <c r="F174">
        <f>multiple_regression_outputs!B204</f>
        <v>683796.79772617295</v>
      </c>
      <c r="G174">
        <f>multiple_regression_outputs!C204</f>
        <v>-4065.2277261730051</v>
      </c>
    </row>
    <row r="175" spans="1:7">
      <c r="A175" t="str">
        <f>dummy_variable_creation_sheet!A172</f>
        <v>STR-1043</v>
      </c>
      <c r="B175" s="14">
        <f>dummy_variable_creation_sheet!B172</f>
        <v>45717</v>
      </c>
      <c r="C175" t="str">
        <f>dummy_variable_creation_sheet!C172</f>
        <v>East</v>
      </c>
      <c r="D175" t="str">
        <f>dummy_variable_creation_sheet!G172</f>
        <v>Residential</v>
      </c>
      <c r="E175">
        <f>dummy_variable_creation_sheet!S172</f>
        <v>769702.76</v>
      </c>
      <c r="F175">
        <f>multiple_regression_outputs!B203</f>
        <v>725787.54061040725</v>
      </c>
      <c r="G175">
        <f>multiple_regression_outputs!C203</f>
        <v>43915.219389592763</v>
      </c>
    </row>
    <row r="176" spans="1:7">
      <c r="A176" t="str">
        <f>dummy_variable_creation_sheet!A175</f>
        <v>STR-1044</v>
      </c>
      <c r="B176" s="14">
        <f>dummy_variable_creation_sheet!B175</f>
        <v>45689</v>
      </c>
      <c r="C176" t="str">
        <f>dummy_variable_creation_sheet!C175</f>
        <v>East</v>
      </c>
      <c r="D176" t="str">
        <f>dummy_variable_creation_sheet!G175</f>
        <v>Residential</v>
      </c>
      <c r="E176">
        <f>dummy_variable_creation_sheet!S175</f>
        <v>721364.11</v>
      </c>
      <c r="F176">
        <f>multiple_regression_outputs!B206</f>
        <v>751029.48959389166</v>
      </c>
      <c r="G176">
        <f>multiple_regression_outputs!C206</f>
        <v>-29665.379593891674</v>
      </c>
    </row>
    <row r="177" spans="1:7">
      <c r="A177" t="str">
        <f>dummy_variable_creation_sheet!A176</f>
        <v>STR-1044</v>
      </c>
      <c r="B177" s="14">
        <f>dummy_variable_creation_sheet!B176</f>
        <v>45717</v>
      </c>
      <c r="C177" t="str">
        <f>dummy_variable_creation_sheet!C176</f>
        <v>East</v>
      </c>
      <c r="D177" t="str">
        <f>dummy_variable_creation_sheet!G176</f>
        <v>Residential</v>
      </c>
      <c r="E177">
        <f>dummy_variable_creation_sheet!S176</f>
        <v>758138.29</v>
      </c>
      <c r="F177">
        <f>multiple_regression_outputs!B207</f>
        <v>774859.77550022409</v>
      </c>
      <c r="G177">
        <f>multiple_regression_outputs!C207</f>
        <v>-16721.485500224051</v>
      </c>
    </row>
    <row r="178" spans="1:7">
      <c r="A178" t="str">
        <f>dummy_variable_creation_sheet!A177</f>
        <v>STR-1044</v>
      </c>
      <c r="B178" s="14">
        <f>dummy_variable_creation_sheet!B177</f>
        <v>45748</v>
      </c>
      <c r="C178" t="str">
        <f>dummy_variable_creation_sheet!C177</f>
        <v>East</v>
      </c>
      <c r="D178" t="str">
        <f>dummy_variable_creation_sheet!G177</f>
        <v>Residential</v>
      </c>
      <c r="E178">
        <f>dummy_variable_creation_sheet!S177</f>
        <v>804264</v>
      </c>
      <c r="F178">
        <f>multiple_regression_outputs!B208</f>
        <v>816436.07493204356</v>
      </c>
      <c r="G178">
        <f>multiple_regression_outputs!C208</f>
        <v>-12172.074932043557</v>
      </c>
    </row>
    <row r="179" spans="1:7">
      <c r="A179" t="str">
        <f>dummy_variable_creation_sheet!A174</f>
        <v>STR-1044</v>
      </c>
      <c r="B179" s="14">
        <f>dummy_variable_creation_sheet!B174</f>
        <v>45658</v>
      </c>
      <c r="C179" t="str">
        <f>dummy_variable_creation_sheet!C174</f>
        <v>East</v>
      </c>
      <c r="D179" t="str">
        <f>dummy_variable_creation_sheet!G174</f>
        <v>Residential</v>
      </c>
      <c r="E179">
        <f>dummy_variable_creation_sheet!S174</f>
        <v>780344.18</v>
      </c>
      <c r="F179">
        <f>multiple_regression_outputs!B205</f>
        <v>764694.8543931134</v>
      </c>
      <c r="G179">
        <f>multiple_regression_outputs!C205</f>
        <v>15649.325606886647</v>
      </c>
    </row>
    <row r="180" spans="1:7">
      <c r="A180" t="str">
        <f>dummy_variable_creation_sheet!A178</f>
        <v>STR-1045</v>
      </c>
      <c r="B180" s="14">
        <f>dummy_variable_creation_sheet!B178</f>
        <v>45658</v>
      </c>
      <c r="C180" t="str">
        <f>dummy_variable_creation_sheet!C178</f>
        <v>West</v>
      </c>
      <c r="D180" t="str">
        <f>dummy_variable_creation_sheet!G178</f>
        <v>Airport</v>
      </c>
      <c r="E180">
        <f>dummy_variable_creation_sheet!S178</f>
        <v>887537.75</v>
      </c>
      <c r="F180">
        <f>multiple_regression_outputs!B209</f>
        <v>880790.19043410721</v>
      </c>
      <c r="G180">
        <f>multiple_regression_outputs!C209</f>
        <v>6747.5595658927923</v>
      </c>
    </row>
    <row r="181" spans="1:7">
      <c r="A181" t="str">
        <f>dummy_variable_creation_sheet!A180</f>
        <v>STR-1045</v>
      </c>
      <c r="B181" s="14">
        <f>dummy_variable_creation_sheet!B180</f>
        <v>45717</v>
      </c>
      <c r="C181" t="str">
        <f>dummy_variable_creation_sheet!C180</f>
        <v>West</v>
      </c>
      <c r="D181" t="str">
        <f>dummy_variable_creation_sheet!G180</f>
        <v>Airport</v>
      </c>
      <c r="E181">
        <f>dummy_variable_creation_sheet!S180</f>
        <v>781955.52</v>
      </c>
      <c r="F181">
        <f>multiple_regression_outputs!B211</f>
        <v>762153.78968371777</v>
      </c>
      <c r="G181">
        <f>multiple_regression_outputs!C211</f>
        <v>19801.73031628225</v>
      </c>
    </row>
    <row r="182" spans="1:7">
      <c r="A182" t="str">
        <f>dummy_variable_creation_sheet!A181</f>
        <v>STR-1045</v>
      </c>
      <c r="B182" s="14">
        <f>dummy_variable_creation_sheet!B181</f>
        <v>45748</v>
      </c>
      <c r="C182" t="str">
        <f>dummy_variable_creation_sheet!C181</f>
        <v>West</v>
      </c>
      <c r="D182" t="str">
        <f>dummy_variable_creation_sheet!G181</f>
        <v>Airport</v>
      </c>
      <c r="E182">
        <f>dummy_variable_creation_sheet!S181</f>
        <v>898031.04</v>
      </c>
      <c r="F182">
        <f>multiple_regression_outputs!B212</f>
        <v>850844.84074808308</v>
      </c>
      <c r="G182">
        <f>multiple_regression_outputs!C212</f>
        <v>47186.199251916958</v>
      </c>
    </row>
    <row r="183" spans="1:7">
      <c r="A183" t="str">
        <f>dummy_variable_creation_sheet!A179</f>
        <v>STR-1045</v>
      </c>
      <c r="B183" s="14">
        <f>dummy_variable_creation_sheet!B179</f>
        <v>45689</v>
      </c>
      <c r="C183" t="str">
        <f>dummy_variable_creation_sheet!C179</f>
        <v>West</v>
      </c>
      <c r="D183" t="str">
        <f>dummy_variable_creation_sheet!G179</f>
        <v>Airport</v>
      </c>
      <c r="E183">
        <f>dummy_variable_creation_sheet!S179</f>
        <v>783582</v>
      </c>
      <c r="F183">
        <f>multiple_regression_outputs!B210</f>
        <v>722242.52257205406</v>
      </c>
      <c r="G183">
        <f>multiple_regression_outputs!C210</f>
        <v>61339.477427945938</v>
      </c>
    </row>
    <row r="184" spans="1:7">
      <c r="A184" t="str">
        <f>dummy_variable_creation_sheet!A185</f>
        <v>STR-1046</v>
      </c>
      <c r="B184" s="14">
        <f>dummy_variable_creation_sheet!B185</f>
        <v>45748</v>
      </c>
      <c r="C184" t="str">
        <f>dummy_variable_creation_sheet!C185</f>
        <v>West</v>
      </c>
      <c r="D184" t="str">
        <f>dummy_variable_creation_sheet!G185</f>
        <v>Residential</v>
      </c>
      <c r="E184">
        <f>dummy_variable_creation_sheet!S185</f>
        <v>819660.59</v>
      </c>
      <c r="F184">
        <f>multiple_regression_outputs!B216</f>
        <v>815749.45992626809</v>
      </c>
      <c r="G184">
        <f>multiple_regression_outputs!C216</f>
        <v>3911.1300737318816</v>
      </c>
    </row>
    <row r="185" spans="1:7">
      <c r="A185" t="str">
        <f>dummy_variable_creation_sheet!A182</f>
        <v>STR-1046</v>
      </c>
      <c r="B185" s="14">
        <f>dummy_variable_creation_sheet!B182</f>
        <v>45658</v>
      </c>
      <c r="C185" t="str">
        <f>dummy_variable_creation_sheet!C182</f>
        <v>West</v>
      </c>
      <c r="D185" t="str">
        <f>dummy_variable_creation_sheet!G182</f>
        <v>Residential</v>
      </c>
      <c r="E185">
        <f>dummy_variable_creation_sheet!S182</f>
        <v>855341.28</v>
      </c>
      <c r="F185">
        <f>multiple_regression_outputs!B213</f>
        <v>843904.45245391224</v>
      </c>
      <c r="G185">
        <f>multiple_regression_outputs!C213</f>
        <v>11436.827546087792</v>
      </c>
    </row>
    <row r="186" spans="1:7">
      <c r="A186" t="str">
        <f>dummy_variable_creation_sheet!A184</f>
        <v>STR-1046</v>
      </c>
      <c r="B186" s="14">
        <f>dummy_variable_creation_sheet!B184</f>
        <v>45717</v>
      </c>
      <c r="C186" t="str">
        <f>dummy_variable_creation_sheet!C184</f>
        <v>West</v>
      </c>
      <c r="D186" t="str">
        <f>dummy_variable_creation_sheet!G184</f>
        <v>Residential</v>
      </c>
      <c r="E186">
        <f>dummy_variable_creation_sheet!S184</f>
        <v>761077.08</v>
      </c>
      <c r="F186">
        <f>multiple_regression_outputs!B215</f>
        <v>747924.69778288645</v>
      </c>
      <c r="G186">
        <f>multiple_regression_outputs!C215</f>
        <v>13152.382217113511</v>
      </c>
    </row>
    <row r="187" spans="1:7">
      <c r="A187" t="str">
        <f>dummy_variable_creation_sheet!A183</f>
        <v>STR-1046</v>
      </c>
      <c r="B187" s="14">
        <f>dummy_variable_creation_sheet!B183</f>
        <v>45689</v>
      </c>
      <c r="C187" t="str">
        <f>dummy_variable_creation_sheet!C183</f>
        <v>West</v>
      </c>
      <c r="D187" t="str">
        <f>dummy_variable_creation_sheet!G183</f>
        <v>Residential</v>
      </c>
      <c r="E187">
        <f>dummy_variable_creation_sheet!S183</f>
        <v>751393.88</v>
      </c>
      <c r="F187">
        <f>multiple_regression_outputs!B214</f>
        <v>736665.66491648159</v>
      </c>
      <c r="G187">
        <f>multiple_regression_outputs!C214</f>
        <v>14728.215083518415</v>
      </c>
    </row>
    <row r="188" spans="1:7">
      <c r="A188" t="str">
        <f>dummy_variable_creation_sheet!A186</f>
        <v>STR-1047</v>
      </c>
      <c r="B188" s="14">
        <f>dummy_variable_creation_sheet!B186</f>
        <v>45658</v>
      </c>
      <c r="C188" t="str">
        <f>dummy_variable_creation_sheet!C186</f>
        <v>North</v>
      </c>
      <c r="D188" t="str">
        <f>dummy_variable_creation_sheet!G186</f>
        <v>High Street</v>
      </c>
      <c r="E188">
        <f>dummy_variable_creation_sheet!S186</f>
        <v>681855.56</v>
      </c>
      <c r="F188">
        <f>multiple_regression_outputs!B217</f>
        <v>702545.07616122486</v>
      </c>
      <c r="G188">
        <f>multiple_regression_outputs!C217</f>
        <v>-20689.516161224805</v>
      </c>
    </row>
    <row r="189" spans="1:7">
      <c r="A189" t="str">
        <f>dummy_variable_creation_sheet!A189</f>
        <v>STR-1047</v>
      </c>
      <c r="B189" s="14">
        <f>dummy_variable_creation_sheet!B189</f>
        <v>45748</v>
      </c>
      <c r="C189" t="str">
        <f>dummy_variable_creation_sheet!C189</f>
        <v>North</v>
      </c>
      <c r="D189" t="str">
        <f>dummy_variable_creation_sheet!G189</f>
        <v>High Street</v>
      </c>
      <c r="E189">
        <f>dummy_variable_creation_sheet!S189</f>
        <v>712546.38</v>
      </c>
      <c r="F189">
        <f>multiple_regression_outputs!B220</f>
        <v>708020.87989563984</v>
      </c>
      <c r="G189">
        <f>multiple_regression_outputs!C220</f>
        <v>4525.500104360166</v>
      </c>
    </row>
    <row r="190" spans="1:7">
      <c r="A190" t="str">
        <f>dummy_variable_creation_sheet!A187</f>
        <v>STR-1047</v>
      </c>
      <c r="B190" s="14">
        <f>dummy_variable_creation_sheet!B187</f>
        <v>45689</v>
      </c>
      <c r="C190" t="str">
        <f>dummy_variable_creation_sheet!C187</f>
        <v>North</v>
      </c>
      <c r="D190" t="str">
        <f>dummy_variable_creation_sheet!G187</f>
        <v>High Street</v>
      </c>
      <c r="E190">
        <f>dummy_variable_creation_sheet!S187</f>
        <v>678311.17</v>
      </c>
      <c r="F190">
        <f>multiple_regression_outputs!B218</f>
        <v>657452.49221383338</v>
      </c>
      <c r="G190">
        <f>multiple_regression_outputs!C218</f>
        <v>20858.677786166663</v>
      </c>
    </row>
    <row r="191" spans="1:7">
      <c r="A191" t="str">
        <f>dummy_variable_creation_sheet!A188</f>
        <v>STR-1047</v>
      </c>
      <c r="B191" s="14">
        <f>dummy_variable_creation_sheet!B188</f>
        <v>45717</v>
      </c>
      <c r="C191" t="str">
        <f>dummy_variable_creation_sheet!C188</f>
        <v>North</v>
      </c>
      <c r="D191" t="str">
        <f>dummy_variable_creation_sheet!G188</f>
        <v>High Street</v>
      </c>
      <c r="E191">
        <f>dummy_variable_creation_sheet!S188</f>
        <v>765906.95</v>
      </c>
      <c r="F191">
        <f>multiple_regression_outputs!B219</f>
        <v>705422.24417177658</v>
      </c>
      <c r="G191">
        <f>multiple_regression_outputs!C219</f>
        <v>60484.705828223377</v>
      </c>
    </row>
    <row r="192" spans="1:7">
      <c r="A192" t="str">
        <f>dummy_variable_creation_sheet!A193</f>
        <v>STR-1048</v>
      </c>
      <c r="B192" s="14">
        <f>dummy_variable_creation_sheet!B193</f>
        <v>45748</v>
      </c>
      <c r="C192" t="str">
        <f>dummy_variable_creation_sheet!C193</f>
        <v>East</v>
      </c>
      <c r="D192" t="str">
        <f>dummy_variable_creation_sheet!G193</f>
        <v>High Street</v>
      </c>
      <c r="E192">
        <f>dummy_variable_creation_sheet!S193</f>
        <v>554012.06999999995</v>
      </c>
      <c r="F192">
        <f>multiple_regression_outputs!B224</f>
        <v>605120.79357550596</v>
      </c>
      <c r="G192">
        <f>multiple_regression_outputs!C224</f>
        <v>-51108.72357550601</v>
      </c>
    </row>
    <row r="193" spans="1:7">
      <c r="A193" t="str">
        <f>dummy_variable_creation_sheet!A192</f>
        <v>STR-1048</v>
      </c>
      <c r="B193" s="14">
        <f>dummy_variable_creation_sheet!B192</f>
        <v>45717</v>
      </c>
      <c r="C193" t="str">
        <f>dummy_variable_creation_sheet!C192</f>
        <v>East</v>
      </c>
      <c r="D193" t="str">
        <f>dummy_variable_creation_sheet!G192</f>
        <v>High Street</v>
      </c>
      <c r="E193">
        <f>dummy_variable_creation_sheet!S192</f>
        <v>443275.59</v>
      </c>
      <c r="F193">
        <f>multiple_regression_outputs!B223</f>
        <v>460686.1189906121</v>
      </c>
      <c r="G193">
        <f>multiple_regression_outputs!C223</f>
        <v>-17410.528990612074</v>
      </c>
    </row>
    <row r="194" spans="1:7">
      <c r="A194" t="str">
        <f>dummy_variable_creation_sheet!A191</f>
        <v>STR-1048</v>
      </c>
      <c r="B194" s="14">
        <f>dummy_variable_creation_sheet!B191</f>
        <v>45689</v>
      </c>
      <c r="C194" t="str">
        <f>dummy_variable_creation_sheet!C191</f>
        <v>East</v>
      </c>
      <c r="D194" t="str">
        <f>dummy_variable_creation_sheet!G191</f>
        <v>High Street</v>
      </c>
      <c r="E194">
        <f>dummy_variable_creation_sheet!S191</f>
        <v>550962.93000000005</v>
      </c>
      <c r="F194">
        <f>multiple_regression_outputs!B222</f>
        <v>550358.74312733929</v>
      </c>
      <c r="G194">
        <f>multiple_regression_outputs!C222</f>
        <v>604.18687266076449</v>
      </c>
    </row>
    <row r="195" spans="1:7">
      <c r="A195" t="str">
        <f>dummy_variable_creation_sheet!A190</f>
        <v>STR-1048</v>
      </c>
      <c r="B195" s="14">
        <f>dummy_variable_creation_sheet!B190</f>
        <v>45658</v>
      </c>
      <c r="C195" t="str">
        <f>dummy_variable_creation_sheet!C190</f>
        <v>East</v>
      </c>
      <c r="D195" t="str">
        <f>dummy_variable_creation_sheet!G190</f>
        <v>High Street</v>
      </c>
      <c r="E195">
        <f>dummy_variable_creation_sheet!S190</f>
        <v>625993.82999999996</v>
      </c>
      <c r="F195">
        <f>multiple_regression_outputs!B221</f>
        <v>597742.48801734042</v>
      </c>
      <c r="G195">
        <f>multiple_regression_outputs!C221</f>
        <v>28251.341982659535</v>
      </c>
    </row>
    <row r="196" spans="1:7">
      <c r="A196" t="str">
        <f>dummy_variable_creation_sheet!A197</f>
        <v>STR-1049</v>
      </c>
      <c r="B196" s="14">
        <f>dummy_variable_creation_sheet!B197</f>
        <v>45748</v>
      </c>
      <c r="C196" t="str">
        <f>dummy_variable_creation_sheet!C197</f>
        <v>West</v>
      </c>
      <c r="D196" t="str">
        <f>dummy_variable_creation_sheet!G197</f>
        <v>Residential</v>
      </c>
      <c r="E196">
        <f>dummy_variable_creation_sheet!S197</f>
        <v>449465.06</v>
      </c>
      <c r="F196">
        <f>multiple_regression_outputs!B228</f>
        <v>517236.64236770902</v>
      </c>
      <c r="G196">
        <f>multiple_regression_outputs!C228</f>
        <v>-67771.582367709023</v>
      </c>
    </row>
    <row r="197" spans="1:7">
      <c r="A197" t="str">
        <f>dummy_variable_creation_sheet!A194</f>
        <v>STR-1049</v>
      </c>
      <c r="B197" s="14">
        <f>dummy_variable_creation_sheet!B194</f>
        <v>45658</v>
      </c>
      <c r="C197" t="str">
        <f>dummy_variable_creation_sheet!C194</f>
        <v>West</v>
      </c>
      <c r="D197" t="str">
        <f>dummy_variable_creation_sheet!G194</f>
        <v>Residential</v>
      </c>
      <c r="E197">
        <f>dummy_variable_creation_sheet!S194</f>
        <v>643428.85</v>
      </c>
      <c r="F197">
        <f>multiple_regression_outputs!B225</f>
        <v>677758.4415130571</v>
      </c>
      <c r="G197">
        <f>multiple_regression_outputs!C225</f>
        <v>-34329.591513057123</v>
      </c>
    </row>
    <row r="198" spans="1:7">
      <c r="A198" t="str">
        <f>dummy_variable_creation_sheet!A195</f>
        <v>STR-1049</v>
      </c>
      <c r="B198" s="14">
        <f>dummy_variable_creation_sheet!B195</f>
        <v>45689</v>
      </c>
      <c r="C198" t="str">
        <f>dummy_variable_creation_sheet!C195</f>
        <v>West</v>
      </c>
      <c r="D198" t="str">
        <f>dummy_variable_creation_sheet!G195</f>
        <v>Residential</v>
      </c>
      <c r="E198">
        <f>dummy_variable_creation_sheet!S195</f>
        <v>611924.27</v>
      </c>
      <c r="F198">
        <f>multiple_regression_outputs!B226</f>
        <v>610072.83514581737</v>
      </c>
      <c r="G198">
        <f>multiple_regression_outputs!C226</f>
        <v>1851.4348541826475</v>
      </c>
    </row>
    <row r="199" spans="1:7">
      <c r="A199" t="str">
        <f>dummy_variable_creation_sheet!A196</f>
        <v>STR-1049</v>
      </c>
      <c r="B199" s="14">
        <f>dummy_variable_creation_sheet!B196</f>
        <v>45717</v>
      </c>
      <c r="C199" t="str">
        <f>dummy_variable_creation_sheet!C196</f>
        <v>West</v>
      </c>
      <c r="D199" t="str">
        <f>dummy_variable_creation_sheet!G196</f>
        <v>Residential</v>
      </c>
      <c r="E199">
        <f>dummy_variable_creation_sheet!S196</f>
        <v>559422.02</v>
      </c>
      <c r="F199">
        <f>multiple_regression_outputs!B227</f>
        <v>549226.17514142359</v>
      </c>
      <c r="G199">
        <f>multiple_regression_outputs!C227</f>
        <v>10195.844858576427</v>
      </c>
    </row>
    <row r="200" spans="1:7">
      <c r="A200" t="str">
        <f>dummy_variable_creation_sheet!A199</f>
        <v>STR-1050</v>
      </c>
      <c r="B200" s="14">
        <f>dummy_variable_creation_sheet!B199</f>
        <v>45689</v>
      </c>
      <c r="C200" t="str">
        <f>dummy_variable_creation_sheet!C199</f>
        <v>North</v>
      </c>
      <c r="D200" t="str">
        <f>dummy_variable_creation_sheet!G199</f>
        <v>Residential</v>
      </c>
      <c r="E200">
        <f>dummy_variable_creation_sheet!S199</f>
        <v>574066.61</v>
      </c>
      <c r="F200">
        <f>multiple_regression_outputs!B230</f>
        <v>600573.97729907325</v>
      </c>
      <c r="G200">
        <f>multiple_regression_outputs!C230</f>
        <v>-26507.367299073259</v>
      </c>
    </row>
    <row r="201" spans="1:7">
      <c r="A201" t="str">
        <f>dummy_variable_creation_sheet!A200</f>
        <v>STR-1050</v>
      </c>
      <c r="B201" s="14">
        <f>dummy_variable_creation_sheet!B200</f>
        <v>45717</v>
      </c>
      <c r="C201" t="str">
        <f>dummy_variable_creation_sheet!C200</f>
        <v>North</v>
      </c>
      <c r="D201" t="str">
        <f>dummy_variable_creation_sheet!G200</f>
        <v>Residential</v>
      </c>
      <c r="E201">
        <f>dummy_variable_creation_sheet!S200</f>
        <v>578949.84</v>
      </c>
      <c r="F201">
        <f>multiple_regression_outputs!B231</f>
        <v>593928.39267624298</v>
      </c>
      <c r="G201">
        <f>multiple_regression_outputs!C231</f>
        <v>-14978.552676243009</v>
      </c>
    </row>
    <row r="202" spans="1:7">
      <c r="A202" t="str">
        <f>dummy_variable_creation_sheet!A198</f>
        <v>STR-1050</v>
      </c>
      <c r="B202" s="14">
        <f>dummy_variable_creation_sheet!B198</f>
        <v>45658</v>
      </c>
      <c r="C202" t="str">
        <f>dummy_variable_creation_sheet!C198</f>
        <v>North</v>
      </c>
      <c r="D202" t="str">
        <f>dummy_variable_creation_sheet!G198</f>
        <v>Residential</v>
      </c>
      <c r="E202">
        <f>dummy_variable_creation_sheet!S198</f>
        <v>691447.43</v>
      </c>
      <c r="F202">
        <f>multiple_regression_outputs!B229</f>
        <v>634525.14542128623</v>
      </c>
      <c r="G202">
        <f>multiple_regression_outputs!C229</f>
        <v>56922.284578713821</v>
      </c>
    </row>
    <row r="203" spans="1:7">
      <c r="A203" t="str">
        <f>dummy_variable_creation_sheet!A201</f>
        <v>STR-1050</v>
      </c>
      <c r="B203" s="14">
        <f>dummy_variable_creation_sheet!B201</f>
        <v>45748</v>
      </c>
      <c r="C203" t="str">
        <f>dummy_variable_creation_sheet!C201</f>
        <v>North</v>
      </c>
      <c r="D203" t="str">
        <f>dummy_variable_creation_sheet!G201</f>
        <v>Residential</v>
      </c>
      <c r="E203">
        <f>dummy_variable_creation_sheet!S201</f>
        <v>735786.64</v>
      </c>
      <c r="F203">
        <f>multiple_regression_outputs!B232</f>
        <v>638540.14711119211</v>
      </c>
      <c r="G203">
        <f>multiple_regression_outputs!C232</f>
        <v>97246.492888807901</v>
      </c>
    </row>
    <row r="204" spans="1:7">
      <c r="A204" t="str">
        <f>dummy_variable_creation_sheet!A204</f>
        <v>STR-1051</v>
      </c>
      <c r="B204" s="14">
        <f>dummy_variable_creation_sheet!B204</f>
        <v>45717</v>
      </c>
      <c r="C204" t="str">
        <f>dummy_variable_creation_sheet!C204</f>
        <v>East</v>
      </c>
      <c r="D204" t="str">
        <f>dummy_variable_creation_sheet!G204</f>
        <v>Airport</v>
      </c>
      <c r="E204">
        <f>dummy_variable_creation_sheet!S204</f>
        <v>607084.92000000004</v>
      </c>
      <c r="F204">
        <f>multiple_regression_outputs!B235</f>
        <v>672609.36125419172</v>
      </c>
      <c r="G204">
        <f>multiple_regression_outputs!C235</f>
        <v>-65524.441254191683</v>
      </c>
    </row>
    <row r="205" spans="1:7">
      <c r="A205" t="str">
        <f>dummy_variable_creation_sheet!A205</f>
        <v>STR-1051</v>
      </c>
      <c r="B205" s="14">
        <f>dummy_variable_creation_sheet!B205</f>
        <v>45748</v>
      </c>
      <c r="C205" t="str">
        <f>dummy_variable_creation_sheet!C205</f>
        <v>East</v>
      </c>
      <c r="D205" t="str">
        <f>dummy_variable_creation_sheet!G205</f>
        <v>Airport</v>
      </c>
      <c r="E205">
        <f>dummy_variable_creation_sheet!S205</f>
        <v>650795.49</v>
      </c>
      <c r="F205">
        <f>multiple_regression_outputs!B236</f>
        <v>694746.95946254337</v>
      </c>
      <c r="G205">
        <f>multiple_regression_outputs!C236</f>
        <v>-43951.469462543377</v>
      </c>
    </row>
    <row r="206" spans="1:7">
      <c r="A206" t="str">
        <f>dummy_variable_creation_sheet!A202</f>
        <v>STR-1051</v>
      </c>
      <c r="B206" s="14">
        <f>dummy_variable_creation_sheet!B202</f>
        <v>45658</v>
      </c>
      <c r="C206" t="str">
        <f>dummy_variable_creation_sheet!C202</f>
        <v>East</v>
      </c>
      <c r="D206" t="str">
        <f>dummy_variable_creation_sheet!G202</f>
        <v>Airport</v>
      </c>
      <c r="E206">
        <f>dummy_variable_creation_sheet!S202</f>
        <v>598904.9</v>
      </c>
      <c r="F206">
        <f>multiple_regression_outputs!B233</f>
        <v>630749.87455005595</v>
      </c>
      <c r="G206">
        <f>multiple_regression_outputs!C233</f>
        <v>-31844.974550055922</v>
      </c>
    </row>
    <row r="207" spans="1:7">
      <c r="A207" t="str">
        <f>dummy_variable_creation_sheet!A203</f>
        <v>STR-1051</v>
      </c>
      <c r="B207" s="14">
        <f>dummy_variable_creation_sheet!B203</f>
        <v>45689</v>
      </c>
      <c r="C207" t="str">
        <f>dummy_variable_creation_sheet!C203</f>
        <v>East</v>
      </c>
      <c r="D207" t="str">
        <f>dummy_variable_creation_sheet!G203</f>
        <v>Airport</v>
      </c>
      <c r="E207">
        <f>dummy_variable_creation_sheet!S203</f>
        <v>787715.51</v>
      </c>
      <c r="F207">
        <f>multiple_regression_outputs!B234</f>
        <v>707902.39271239145</v>
      </c>
      <c r="G207">
        <f>multiple_regression_outputs!C234</f>
        <v>79813.117287608562</v>
      </c>
    </row>
    <row r="208" spans="1:7">
      <c r="A208" t="str">
        <f>dummy_variable_creation_sheet!A209</f>
        <v>STR-1052</v>
      </c>
      <c r="B208" s="14">
        <f>dummy_variable_creation_sheet!B209</f>
        <v>45748</v>
      </c>
      <c r="C208" t="str">
        <f>dummy_variable_creation_sheet!C209</f>
        <v>East</v>
      </c>
      <c r="D208" t="str">
        <f>dummy_variable_creation_sheet!G209</f>
        <v>Mall</v>
      </c>
      <c r="E208">
        <f>dummy_variable_creation_sheet!S209</f>
        <v>675917.63</v>
      </c>
      <c r="F208">
        <f>multiple_regression_outputs!B240</f>
        <v>767689.68994390802</v>
      </c>
      <c r="G208">
        <f>multiple_regression_outputs!C240</f>
        <v>-91772.059943908011</v>
      </c>
    </row>
    <row r="209" spans="1:7">
      <c r="A209" t="str">
        <f>dummy_variable_creation_sheet!A208</f>
        <v>STR-1052</v>
      </c>
      <c r="B209" s="14">
        <f>dummy_variable_creation_sheet!B208</f>
        <v>45717</v>
      </c>
      <c r="C209" t="str">
        <f>dummy_variable_creation_sheet!C208</f>
        <v>East</v>
      </c>
      <c r="D209" t="str">
        <f>dummy_variable_creation_sheet!G208</f>
        <v>Mall</v>
      </c>
      <c r="E209">
        <f>dummy_variable_creation_sheet!S208</f>
        <v>671868.59</v>
      </c>
      <c r="F209">
        <f>multiple_regression_outputs!B239</f>
        <v>746043.39063806669</v>
      </c>
      <c r="G209">
        <f>multiple_regression_outputs!C239</f>
        <v>-74174.800638066721</v>
      </c>
    </row>
    <row r="210" spans="1:7">
      <c r="A210" t="str">
        <f>dummy_variable_creation_sheet!A206</f>
        <v>STR-1052</v>
      </c>
      <c r="B210" s="14">
        <f>dummy_variable_creation_sheet!B206</f>
        <v>45658</v>
      </c>
      <c r="C210" t="str">
        <f>dummy_variable_creation_sheet!C206</f>
        <v>East</v>
      </c>
      <c r="D210" t="str">
        <f>dummy_variable_creation_sheet!G206</f>
        <v>Mall</v>
      </c>
      <c r="E210">
        <f>dummy_variable_creation_sheet!S206</f>
        <v>825060.52</v>
      </c>
      <c r="F210">
        <f>multiple_regression_outputs!B237</f>
        <v>853569.71835501271</v>
      </c>
      <c r="G210">
        <f>multiple_regression_outputs!C237</f>
        <v>-28509.19835501269</v>
      </c>
    </row>
    <row r="211" spans="1:7">
      <c r="A211" t="str">
        <f>dummy_variable_creation_sheet!A207</f>
        <v>STR-1052</v>
      </c>
      <c r="B211" s="14">
        <f>dummy_variable_creation_sheet!B207</f>
        <v>45689</v>
      </c>
      <c r="C211" t="str">
        <f>dummy_variable_creation_sheet!C207</f>
        <v>East</v>
      </c>
      <c r="D211" t="str">
        <f>dummy_variable_creation_sheet!G207</f>
        <v>Mall</v>
      </c>
      <c r="E211">
        <f>dummy_variable_creation_sheet!S207</f>
        <v>795464.47</v>
      </c>
      <c r="F211">
        <f>multiple_regression_outputs!B238</f>
        <v>752849.56977335387</v>
      </c>
      <c r="G211">
        <f>multiple_regression_outputs!C238</f>
        <v>42614.900226646103</v>
      </c>
    </row>
    <row r="212" spans="1:7">
      <c r="A212" t="str">
        <f>dummy_variable_creation_sheet!A211</f>
        <v>STR-1053</v>
      </c>
      <c r="B212" s="14">
        <f>dummy_variable_creation_sheet!B211</f>
        <v>45689</v>
      </c>
      <c r="C212" t="str">
        <f>dummy_variable_creation_sheet!C211</f>
        <v>East</v>
      </c>
      <c r="D212" t="str">
        <f>dummy_variable_creation_sheet!G211</f>
        <v>High Street</v>
      </c>
      <c r="E212">
        <f>dummy_variable_creation_sheet!S211</f>
        <v>691288.19</v>
      </c>
      <c r="F212">
        <f>multiple_regression_outputs!B242</f>
        <v>773405.07725729421</v>
      </c>
      <c r="G212">
        <f>multiple_regression_outputs!C242</f>
        <v>-82116.887257294264</v>
      </c>
    </row>
    <row r="213" spans="1:7">
      <c r="A213" t="str">
        <f>dummy_variable_creation_sheet!A212</f>
        <v>STR-1053</v>
      </c>
      <c r="B213" s="14">
        <f>dummy_variable_creation_sheet!B212</f>
        <v>45717</v>
      </c>
      <c r="C213" t="str">
        <f>dummy_variable_creation_sheet!C212</f>
        <v>East</v>
      </c>
      <c r="D213" t="str">
        <f>dummy_variable_creation_sheet!G212</f>
        <v>High Street</v>
      </c>
      <c r="E213">
        <f>dummy_variable_creation_sheet!S212</f>
        <v>946833.54</v>
      </c>
      <c r="F213">
        <f>multiple_regression_outputs!B243</f>
        <v>969513.97547178576</v>
      </c>
      <c r="G213">
        <f>multiple_regression_outputs!C243</f>
        <v>-22680.43547178572</v>
      </c>
    </row>
    <row r="214" spans="1:7">
      <c r="A214" t="str">
        <f>dummy_variable_creation_sheet!A213</f>
        <v>STR-1053</v>
      </c>
      <c r="B214" s="14">
        <f>dummy_variable_creation_sheet!B213</f>
        <v>45748</v>
      </c>
      <c r="C214" t="str">
        <f>dummy_variable_creation_sheet!C213</f>
        <v>East</v>
      </c>
      <c r="D214" t="str">
        <f>dummy_variable_creation_sheet!G213</f>
        <v>High Street</v>
      </c>
      <c r="E214">
        <f>dummy_variable_creation_sheet!S213</f>
        <v>761963.23</v>
      </c>
      <c r="F214">
        <f>multiple_regression_outputs!B244</f>
        <v>778415.36820867425</v>
      </c>
      <c r="G214">
        <f>multiple_regression_outputs!C244</f>
        <v>-16452.138208674267</v>
      </c>
    </row>
    <row r="215" spans="1:7">
      <c r="A215" t="str">
        <f>dummy_variable_creation_sheet!A210</f>
        <v>STR-1053</v>
      </c>
      <c r="B215" s="14">
        <f>dummy_variable_creation_sheet!B210</f>
        <v>45658</v>
      </c>
      <c r="C215" t="str">
        <f>dummy_variable_creation_sheet!C210</f>
        <v>East</v>
      </c>
      <c r="D215" t="str">
        <f>dummy_variable_creation_sheet!G210</f>
        <v>High Street</v>
      </c>
      <c r="E215">
        <f>dummy_variable_creation_sheet!S210</f>
        <v>810446.53</v>
      </c>
      <c r="F215">
        <f>multiple_regression_outputs!B241</f>
        <v>807113.36208650097</v>
      </c>
      <c r="G215">
        <f>multiple_regression_outputs!C241</f>
        <v>3333.1679134990554</v>
      </c>
    </row>
    <row r="216" spans="1:7">
      <c r="A216" t="str">
        <f>dummy_variable_creation_sheet!A216</f>
        <v>STR-1054</v>
      </c>
      <c r="B216" s="14">
        <f>dummy_variable_creation_sheet!B216</f>
        <v>45717</v>
      </c>
      <c r="C216" t="str">
        <f>dummy_variable_creation_sheet!C216</f>
        <v>West</v>
      </c>
      <c r="D216" t="str">
        <f>dummy_variable_creation_sheet!G216</f>
        <v>Residential</v>
      </c>
      <c r="E216">
        <f>dummy_variable_creation_sheet!S216</f>
        <v>752321.72</v>
      </c>
      <c r="F216">
        <f>multiple_regression_outputs!B247</f>
        <v>750240.41093146219</v>
      </c>
      <c r="G216">
        <f>multiple_regression_outputs!C247</f>
        <v>2081.3090685377829</v>
      </c>
    </row>
    <row r="217" spans="1:7">
      <c r="A217" t="str">
        <f>dummy_variable_creation_sheet!A217</f>
        <v>STR-1054</v>
      </c>
      <c r="B217" s="14">
        <f>dummy_variable_creation_sheet!B217</f>
        <v>45748</v>
      </c>
      <c r="C217" t="str">
        <f>dummy_variable_creation_sheet!C217</f>
        <v>West</v>
      </c>
      <c r="D217" t="str">
        <f>dummy_variable_creation_sheet!G217</f>
        <v>Residential</v>
      </c>
      <c r="E217">
        <f>dummy_variable_creation_sheet!S217</f>
        <v>836908.24</v>
      </c>
      <c r="F217">
        <f>multiple_regression_outputs!B248</f>
        <v>810065.40304737468</v>
      </c>
      <c r="G217">
        <f>multiple_regression_outputs!C248</f>
        <v>26842.836952625308</v>
      </c>
    </row>
    <row r="218" spans="1:7">
      <c r="A218" t="str">
        <f>dummy_variable_creation_sheet!A214</f>
        <v>STR-1054</v>
      </c>
      <c r="B218" s="14">
        <f>dummy_variable_creation_sheet!B214</f>
        <v>45658</v>
      </c>
      <c r="C218" t="str">
        <f>dummy_variable_creation_sheet!C214</f>
        <v>West</v>
      </c>
      <c r="D218" t="str">
        <f>dummy_variable_creation_sheet!G214</f>
        <v>Residential</v>
      </c>
      <c r="E218">
        <f>dummy_variable_creation_sheet!S214</f>
        <v>812152.6</v>
      </c>
      <c r="F218">
        <f>multiple_regression_outputs!B245</f>
        <v>763472.40501572203</v>
      </c>
      <c r="G218">
        <f>multiple_regression_outputs!C245</f>
        <v>48680.194984277943</v>
      </c>
    </row>
    <row r="219" spans="1:7">
      <c r="A219" t="str">
        <f>dummy_variable_creation_sheet!A215</f>
        <v>STR-1054</v>
      </c>
      <c r="B219" s="14">
        <f>dummy_variable_creation_sheet!B215</f>
        <v>45689</v>
      </c>
      <c r="C219" t="str">
        <f>dummy_variable_creation_sheet!C215</f>
        <v>West</v>
      </c>
      <c r="D219" t="str">
        <f>dummy_variable_creation_sheet!G215</f>
        <v>Residential</v>
      </c>
      <c r="E219">
        <f>dummy_variable_creation_sheet!S215</f>
        <v>804975.5</v>
      </c>
      <c r="F219">
        <f>multiple_regression_outputs!B246</f>
        <v>750198.1405705153</v>
      </c>
      <c r="G219">
        <f>multiple_regression_outputs!C246</f>
        <v>54777.359429484699</v>
      </c>
    </row>
    <row r="220" spans="1:7">
      <c r="A220" t="str">
        <f>dummy_variable_creation_sheet!A219</f>
        <v>STR-1055</v>
      </c>
      <c r="B220" s="14">
        <f>dummy_variable_creation_sheet!B219</f>
        <v>45689</v>
      </c>
      <c r="C220" t="str">
        <f>dummy_variable_creation_sheet!C219</f>
        <v>North</v>
      </c>
      <c r="D220" t="str">
        <f>dummy_variable_creation_sheet!G219</f>
        <v>Airport</v>
      </c>
      <c r="E220">
        <f>dummy_variable_creation_sheet!S219</f>
        <v>622892.42000000004</v>
      </c>
      <c r="F220">
        <f>multiple_regression_outputs!B250</f>
        <v>635742.91754861386</v>
      </c>
      <c r="G220">
        <f>multiple_regression_outputs!C250</f>
        <v>-12850.497548613814</v>
      </c>
    </row>
    <row r="221" spans="1:7">
      <c r="A221" t="str">
        <f>dummy_variable_creation_sheet!A221</f>
        <v>STR-1055</v>
      </c>
      <c r="B221" s="14">
        <f>dummy_variable_creation_sheet!B221</f>
        <v>45748</v>
      </c>
      <c r="C221" t="str">
        <f>dummy_variable_creation_sheet!C221</f>
        <v>North</v>
      </c>
      <c r="D221" t="str">
        <f>dummy_variable_creation_sheet!G221</f>
        <v>Airport</v>
      </c>
      <c r="E221">
        <f>dummy_variable_creation_sheet!S221</f>
        <v>606278.30000000005</v>
      </c>
      <c r="F221">
        <f>multiple_regression_outputs!B252</f>
        <v>615454.16373464535</v>
      </c>
      <c r="G221">
        <f>multiple_regression_outputs!C252</f>
        <v>-9175.8637346453033</v>
      </c>
    </row>
    <row r="222" spans="1:7">
      <c r="A222" t="str">
        <f>dummy_variable_creation_sheet!A218</f>
        <v>STR-1055</v>
      </c>
      <c r="B222" s="14">
        <f>dummy_variable_creation_sheet!B218</f>
        <v>45658</v>
      </c>
      <c r="C222" t="str">
        <f>dummy_variable_creation_sheet!C218</f>
        <v>North</v>
      </c>
      <c r="D222" t="str">
        <f>dummy_variable_creation_sheet!G218</f>
        <v>Airport</v>
      </c>
      <c r="E222">
        <f>dummy_variable_creation_sheet!S218</f>
        <v>674289.1</v>
      </c>
      <c r="F222">
        <f>multiple_regression_outputs!B249</f>
        <v>662409.69484902022</v>
      </c>
      <c r="G222">
        <f>multiple_regression_outputs!C249</f>
        <v>11879.405150979757</v>
      </c>
    </row>
    <row r="223" spans="1:7">
      <c r="A223" t="str">
        <f>dummy_variable_creation_sheet!A220</f>
        <v>STR-1055</v>
      </c>
      <c r="B223" s="14">
        <f>dummy_variable_creation_sheet!B220</f>
        <v>45717</v>
      </c>
      <c r="C223" t="str">
        <f>dummy_variable_creation_sheet!C220</f>
        <v>North</v>
      </c>
      <c r="D223" t="str">
        <f>dummy_variable_creation_sheet!G220</f>
        <v>Airport</v>
      </c>
      <c r="E223">
        <f>dummy_variable_creation_sheet!S220</f>
        <v>673348.56</v>
      </c>
      <c r="F223">
        <f>multiple_regression_outputs!B251</f>
        <v>636427.73100168759</v>
      </c>
      <c r="G223">
        <f>multiple_regression_outputs!C251</f>
        <v>36920.828998312471</v>
      </c>
    </row>
    <row r="224" spans="1:7">
      <c r="A224" t="str">
        <f>dummy_variable_creation_sheet!A225</f>
        <v>STR-1056</v>
      </c>
      <c r="B224" s="14">
        <f>dummy_variable_creation_sheet!B225</f>
        <v>45748</v>
      </c>
      <c r="C224" t="str">
        <f>dummy_variable_creation_sheet!C225</f>
        <v>East</v>
      </c>
      <c r="D224" t="str">
        <f>dummy_variable_creation_sheet!G225</f>
        <v>High Street</v>
      </c>
      <c r="E224">
        <f>dummy_variable_creation_sheet!S225</f>
        <v>723531.4</v>
      </c>
      <c r="F224">
        <f>multiple_regression_outputs!B256</f>
        <v>769201.6654001344</v>
      </c>
      <c r="G224">
        <f>multiple_regression_outputs!C256</f>
        <v>-45670.265400134376</v>
      </c>
    </row>
    <row r="225" spans="1:7">
      <c r="A225" t="str">
        <f>dummy_variable_creation_sheet!A224</f>
        <v>STR-1056</v>
      </c>
      <c r="B225" s="14">
        <f>dummy_variable_creation_sheet!B224</f>
        <v>45717</v>
      </c>
      <c r="C225" t="str">
        <f>dummy_variable_creation_sheet!C224</f>
        <v>East</v>
      </c>
      <c r="D225" t="str">
        <f>dummy_variable_creation_sheet!G224</f>
        <v>High Street</v>
      </c>
      <c r="E225">
        <f>dummy_variable_creation_sheet!S224</f>
        <v>732667.92</v>
      </c>
      <c r="F225">
        <f>multiple_regression_outputs!B255</f>
        <v>744707.03671846166</v>
      </c>
      <c r="G225">
        <f>multiple_regression_outputs!C255</f>
        <v>-12039.116718461621</v>
      </c>
    </row>
    <row r="226" spans="1:7">
      <c r="A226" t="str">
        <f>dummy_variable_creation_sheet!A223</f>
        <v>STR-1056</v>
      </c>
      <c r="B226" s="14">
        <f>dummy_variable_creation_sheet!B223</f>
        <v>45689</v>
      </c>
      <c r="C226" t="str">
        <f>dummy_variable_creation_sheet!C223</f>
        <v>East</v>
      </c>
      <c r="D226" t="str">
        <f>dummy_variable_creation_sheet!G223</f>
        <v>High Street</v>
      </c>
      <c r="E226">
        <f>dummy_variable_creation_sheet!S223</f>
        <v>672670.54</v>
      </c>
      <c r="F226">
        <f>multiple_regression_outputs!B254</f>
        <v>683382.88381180423</v>
      </c>
      <c r="G226">
        <f>multiple_regression_outputs!C254</f>
        <v>-10712.343811804196</v>
      </c>
    </row>
    <row r="227" spans="1:7">
      <c r="A227" t="str">
        <f>dummy_variable_creation_sheet!A222</f>
        <v>STR-1056</v>
      </c>
      <c r="B227" s="14">
        <f>dummy_variable_creation_sheet!B222</f>
        <v>45658</v>
      </c>
      <c r="C227" t="str">
        <f>dummy_variable_creation_sheet!C222</f>
        <v>East</v>
      </c>
      <c r="D227" t="str">
        <f>dummy_variable_creation_sheet!G222</f>
        <v>High Street</v>
      </c>
      <c r="E227">
        <f>dummy_variable_creation_sheet!S222</f>
        <v>712219.81</v>
      </c>
      <c r="F227">
        <f>multiple_regression_outputs!B253</f>
        <v>707866.42900929321</v>
      </c>
      <c r="G227">
        <f>multiple_regression_outputs!C253</f>
        <v>4353.3809907068498</v>
      </c>
    </row>
    <row r="228" spans="1:7">
      <c r="A228" t="str">
        <f>dummy_variable_creation_sheet!A228</f>
        <v>STR-1057</v>
      </c>
      <c r="B228" s="14">
        <f>dummy_variable_creation_sheet!B228</f>
        <v>45717</v>
      </c>
      <c r="C228" t="str">
        <f>dummy_variable_creation_sheet!C228</f>
        <v>East</v>
      </c>
      <c r="D228" t="str">
        <f>dummy_variable_creation_sheet!G228</f>
        <v>Mall</v>
      </c>
      <c r="E228">
        <f>dummy_variable_creation_sheet!S228</f>
        <v>527681.56000000006</v>
      </c>
      <c r="F228">
        <f>multiple_regression_outputs!B259</f>
        <v>568356.67743175558</v>
      </c>
      <c r="G228">
        <f>multiple_regression_outputs!C259</f>
        <v>-40675.117431755527</v>
      </c>
    </row>
    <row r="229" spans="1:7">
      <c r="A229" t="str">
        <f>dummy_variable_creation_sheet!A227</f>
        <v>STR-1057</v>
      </c>
      <c r="B229" s="14">
        <f>dummy_variable_creation_sheet!B227</f>
        <v>45689</v>
      </c>
      <c r="C229" t="str">
        <f>dummy_variable_creation_sheet!C227</f>
        <v>East</v>
      </c>
      <c r="D229" t="str">
        <f>dummy_variable_creation_sheet!G227</f>
        <v>Mall</v>
      </c>
      <c r="E229">
        <f>dummy_variable_creation_sheet!S227</f>
        <v>536545.49</v>
      </c>
      <c r="F229">
        <f>multiple_regression_outputs!B258</f>
        <v>542713.75318914664</v>
      </c>
      <c r="G229">
        <f>multiple_regression_outputs!C258</f>
        <v>-6168.2631891466444</v>
      </c>
    </row>
    <row r="230" spans="1:7">
      <c r="A230" t="str">
        <f>dummy_variable_creation_sheet!A229</f>
        <v>STR-1057</v>
      </c>
      <c r="B230" s="14">
        <f>dummy_variable_creation_sheet!B229</f>
        <v>45748</v>
      </c>
      <c r="C230" t="str">
        <f>dummy_variable_creation_sheet!C229</f>
        <v>East</v>
      </c>
      <c r="D230" t="str">
        <f>dummy_variable_creation_sheet!G229</f>
        <v>Mall</v>
      </c>
      <c r="E230">
        <f>dummy_variable_creation_sheet!S229</f>
        <v>529598.93999999994</v>
      </c>
      <c r="F230">
        <f>multiple_regression_outputs!B260</f>
        <v>520121.80647882744</v>
      </c>
      <c r="G230">
        <f>multiple_regression_outputs!C260</f>
        <v>9477.1335211725091</v>
      </c>
    </row>
    <row r="231" spans="1:7">
      <c r="A231" t="str">
        <f>dummy_variable_creation_sheet!A226</f>
        <v>STR-1057</v>
      </c>
      <c r="B231" s="14">
        <f>dummy_variable_creation_sheet!B226</f>
        <v>45658</v>
      </c>
      <c r="C231" t="str">
        <f>dummy_variable_creation_sheet!C226</f>
        <v>East</v>
      </c>
      <c r="D231" t="str">
        <f>dummy_variable_creation_sheet!G226</f>
        <v>Mall</v>
      </c>
      <c r="E231">
        <f>dummy_variable_creation_sheet!S226</f>
        <v>641564.6</v>
      </c>
      <c r="F231">
        <f>multiple_regression_outputs!B257</f>
        <v>622740.8388929246</v>
      </c>
      <c r="G231">
        <f>multiple_regression_outputs!C257</f>
        <v>18823.761107075377</v>
      </c>
    </row>
    <row r="232" spans="1:7">
      <c r="A232" t="str">
        <f>dummy_variable_creation_sheet!A230</f>
        <v>STR-1058</v>
      </c>
      <c r="B232" s="14">
        <f>dummy_variable_creation_sheet!B230</f>
        <v>45658</v>
      </c>
      <c r="C232" t="str">
        <f>dummy_variable_creation_sheet!C230</f>
        <v>East</v>
      </c>
      <c r="D232" t="str">
        <f>dummy_variable_creation_sheet!G230</f>
        <v>High Street</v>
      </c>
      <c r="E232">
        <f>dummy_variable_creation_sheet!S230</f>
        <v>570963.31000000006</v>
      </c>
      <c r="F232">
        <f>multiple_regression_outputs!B261</f>
        <v>634572.96756221773</v>
      </c>
      <c r="G232">
        <f>multiple_regression_outputs!C261</f>
        <v>-63609.657562217675</v>
      </c>
    </row>
    <row r="233" spans="1:7">
      <c r="A233" t="str">
        <f>dummy_variable_creation_sheet!A232</f>
        <v>STR-1058</v>
      </c>
      <c r="B233" s="14">
        <f>dummy_variable_creation_sheet!B232</f>
        <v>45717</v>
      </c>
      <c r="C233" t="str">
        <f>dummy_variable_creation_sheet!C232</f>
        <v>East</v>
      </c>
      <c r="D233" t="str">
        <f>dummy_variable_creation_sheet!G232</f>
        <v>High Street</v>
      </c>
      <c r="E233">
        <f>dummy_variable_creation_sheet!S232</f>
        <v>596969.27</v>
      </c>
      <c r="F233">
        <f>multiple_regression_outputs!B263</f>
        <v>639254.48303786071</v>
      </c>
      <c r="G233">
        <f>multiple_regression_outputs!C263</f>
        <v>-42285.213037860696</v>
      </c>
    </row>
    <row r="234" spans="1:7">
      <c r="A234" t="str">
        <f>dummy_variable_creation_sheet!A233</f>
        <v>STR-1058</v>
      </c>
      <c r="B234" s="14">
        <f>dummy_variable_creation_sheet!B233</f>
        <v>45748</v>
      </c>
      <c r="C234" t="str">
        <f>dummy_variable_creation_sheet!C233</f>
        <v>East</v>
      </c>
      <c r="D234" t="str">
        <f>dummy_variable_creation_sheet!G233</f>
        <v>High Street</v>
      </c>
      <c r="E234">
        <f>dummy_variable_creation_sheet!S233</f>
        <v>647512.85</v>
      </c>
      <c r="F234">
        <f>multiple_regression_outputs!B264</f>
        <v>637025.16502842028</v>
      </c>
      <c r="G234">
        <f>multiple_regression_outputs!C264</f>
        <v>10487.6849715797</v>
      </c>
    </row>
    <row r="235" spans="1:7">
      <c r="A235" t="str">
        <f>dummy_variable_creation_sheet!A231</f>
        <v>STR-1058</v>
      </c>
      <c r="B235" s="14">
        <f>dummy_variable_creation_sheet!B231</f>
        <v>45689</v>
      </c>
      <c r="C235" t="str">
        <f>dummy_variable_creation_sheet!C231</f>
        <v>East</v>
      </c>
      <c r="D235" t="str">
        <f>dummy_variable_creation_sheet!G231</f>
        <v>High Street</v>
      </c>
      <c r="E235">
        <f>dummy_variable_creation_sheet!S231</f>
        <v>870937.4</v>
      </c>
      <c r="F235">
        <f>multiple_regression_outputs!B262</f>
        <v>817939.95122408157</v>
      </c>
      <c r="G235">
        <f>multiple_regression_outputs!C262</f>
        <v>52997.448775918456</v>
      </c>
    </row>
    <row r="236" spans="1:7">
      <c r="A236" t="str">
        <f>dummy_variable_creation_sheet!A237</f>
        <v>STR-1059</v>
      </c>
      <c r="B236" s="14">
        <f>dummy_variable_creation_sheet!B237</f>
        <v>45748</v>
      </c>
      <c r="C236" t="str">
        <f>dummy_variable_creation_sheet!C237</f>
        <v>West</v>
      </c>
      <c r="D236" t="str">
        <f>dummy_variable_creation_sheet!G237</f>
        <v>Residential</v>
      </c>
      <c r="E236">
        <f>dummy_variable_creation_sheet!S237</f>
        <v>670629.48</v>
      </c>
      <c r="F236">
        <f>multiple_regression_outputs!B268</f>
        <v>653590.73798794101</v>
      </c>
      <c r="G236">
        <f>multiple_regression_outputs!C268</f>
        <v>17038.742012058967</v>
      </c>
    </row>
    <row r="237" spans="1:7">
      <c r="A237" t="str">
        <f>dummy_variable_creation_sheet!A236</f>
        <v>STR-1059</v>
      </c>
      <c r="B237" s="14">
        <f>dummy_variable_creation_sheet!B236</f>
        <v>45717</v>
      </c>
      <c r="C237" t="str">
        <f>dummy_variable_creation_sheet!C236</f>
        <v>West</v>
      </c>
      <c r="D237" t="str">
        <f>dummy_variable_creation_sheet!G236</f>
        <v>Residential</v>
      </c>
      <c r="E237">
        <f>dummy_variable_creation_sheet!S236</f>
        <v>640666.53</v>
      </c>
      <c r="F237">
        <f>multiple_regression_outputs!B267</f>
        <v>618593.67299551179</v>
      </c>
      <c r="G237">
        <f>multiple_regression_outputs!C267</f>
        <v>22072.857004488236</v>
      </c>
    </row>
    <row r="238" spans="1:7">
      <c r="A238" t="str">
        <f>dummy_variable_creation_sheet!A234</f>
        <v>STR-1059</v>
      </c>
      <c r="B238" s="14">
        <f>dummy_variable_creation_sheet!B234</f>
        <v>45658</v>
      </c>
      <c r="C238" t="str">
        <f>dummy_variable_creation_sheet!C234</f>
        <v>West</v>
      </c>
      <c r="D238" t="str">
        <f>dummy_variable_creation_sheet!G234</f>
        <v>Residential</v>
      </c>
      <c r="E238">
        <f>dummy_variable_creation_sheet!S234</f>
        <v>658072.14</v>
      </c>
      <c r="F238">
        <f>multiple_regression_outputs!B265</f>
        <v>600891.36107506079</v>
      </c>
      <c r="G238">
        <f>multiple_regression_outputs!C265</f>
        <v>57180.778924939223</v>
      </c>
    </row>
    <row r="239" spans="1:7">
      <c r="A239" t="str">
        <f>dummy_variable_creation_sheet!A235</f>
        <v>STR-1059</v>
      </c>
      <c r="B239" s="14">
        <f>dummy_variable_creation_sheet!B235</f>
        <v>45689</v>
      </c>
      <c r="C239" t="str">
        <f>dummy_variable_creation_sheet!C235</f>
        <v>West</v>
      </c>
      <c r="D239" t="str">
        <f>dummy_variable_creation_sheet!G235</f>
        <v>Residential</v>
      </c>
      <c r="E239">
        <f>dummy_variable_creation_sheet!S235</f>
        <v>723305.11</v>
      </c>
      <c r="F239">
        <f>multiple_regression_outputs!B266</f>
        <v>631602.29353291565</v>
      </c>
      <c r="G239">
        <f>multiple_regression_outputs!C266</f>
        <v>91702.81646708434</v>
      </c>
    </row>
    <row r="240" spans="1:7">
      <c r="A240" t="str">
        <f>dummy_variable_creation_sheet!A238</f>
        <v>STR-1060</v>
      </c>
      <c r="B240" s="14">
        <f>dummy_variable_creation_sheet!B238</f>
        <v>45658</v>
      </c>
      <c r="C240" t="str">
        <f>dummy_variable_creation_sheet!C238</f>
        <v>West</v>
      </c>
      <c r="D240" t="str">
        <f>dummy_variable_creation_sheet!G238</f>
        <v>Mall</v>
      </c>
      <c r="E240">
        <f>dummy_variable_creation_sheet!S238</f>
        <v>721079.35</v>
      </c>
      <c r="F240">
        <f>multiple_regression_outputs!B269</f>
        <v>797261.57385784015</v>
      </c>
      <c r="G240">
        <f>multiple_regression_outputs!C269</f>
        <v>-76182.223857840174</v>
      </c>
    </row>
    <row r="241" spans="1:7">
      <c r="A241" t="str">
        <f>dummy_variable_creation_sheet!A239</f>
        <v>STR-1060</v>
      </c>
      <c r="B241" s="14">
        <f>dummy_variable_creation_sheet!B239</f>
        <v>45689</v>
      </c>
      <c r="C241" t="str">
        <f>dummy_variable_creation_sheet!C239</f>
        <v>West</v>
      </c>
      <c r="D241" t="str">
        <f>dummy_variable_creation_sheet!G239</f>
        <v>Mall</v>
      </c>
      <c r="E241">
        <f>dummy_variable_creation_sheet!S239</f>
        <v>810355.02</v>
      </c>
      <c r="F241">
        <f>multiple_regression_outputs!B270</f>
        <v>831054.07192678284</v>
      </c>
      <c r="G241">
        <f>multiple_regression_outputs!C270</f>
        <v>-20699.05192678282</v>
      </c>
    </row>
    <row r="242" spans="1:7">
      <c r="A242" t="str">
        <f>dummy_variable_creation_sheet!A240</f>
        <v>STR-1060</v>
      </c>
      <c r="B242" s="14">
        <f>dummy_variable_creation_sheet!B240</f>
        <v>45717</v>
      </c>
      <c r="C242" t="str">
        <f>dummy_variable_creation_sheet!C240</f>
        <v>West</v>
      </c>
      <c r="D242" t="str">
        <f>dummy_variable_creation_sheet!G240</f>
        <v>Mall</v>
      </c>
      <c r="E242">
        <f>dummy_variable_creation_sheet!S240</f>
        <v>761919.25</v>
      </c>
      <c r="F242">
        <f>multiple_regression_outputs!B271</f>
        <v>774746.88918641349</v>
      </c>
      <c r="G242">
        <f>multiple_regression_outputs!C271</f>
        <v>-12827.639186413493</v>
      </c>
    </row>
    <row r="243" spans="1:7">
      <c r="A243" t="str">
        <f>dummy_variable_creation_sheet!A241</f>
        <v>STR-1060</v>
      </c>
      <c r="B243" s="14">
        <f>dummy_variable_creation_sheet!B241</f>
        <v>45748</v>
      </c>
      <c r="C243" t="str">
        <f>dummy_variable_creation_sheet!C241</f>
        <v>West</v>
      </c>
      <c r="D243" t="str">
        <f>dummy_variable_creation_sheet!G241</f>
        <v>Mall</v>
      </c>
      <c r="E243">
        <f>dummy_variable_creation_sheet!S241</f>
        <v>737070.18</v>
      </c>
      <c r="F243">
        <f>multiple_regression_outputs!B272</f>
        <v>732730.1642236067</v>
      </c>
      <c r="G243">
        <f>multiple_regression_outputs!C272</f>
        <v>4340.015776393353</v>
      </c>
    </row>
    <row r="244" spans="1:7">
      <c r="A244" t="str">
        <f>dummy_variable_creation_sheet!A245</f>
        <v>STR-1061</v>
      </c>
      <c r="B244" s="14">
        <f>dummy_variable_creation_sheet!B245</f>
        <v>45748</v>
      </c>
      <c r="C244" t="str">
        <f>dummy_variable_creation_sheet!C245</f>
        <v>South</v>
      </c>
      <c r="D244" t="str">
        <f>dummy_variable_creation_sheet!G245</f>
        <v>Airport</v>
      </c>
      <c r="E244">
        <f>dummy_variable_creation_sheet!S245</f>
        <v>763159.92</v>
      </c>
      <c r="F244">
        <f>multiple_regression_outputs!B276</f>
        <v>776390.9710659961</v>
      </c>
      <c r="G244">
        <f>multiple_regression_outputs!C276</f>
        <v>-13231.051065996056</v>
      </c>
    </row>
    <row r="245" spans="1:7">
      <c r="A245" t="str">
        <f>dummy_variable_creation_sheet!A244</f>
        <v>STR-1061</v>
      </c>
      <c r="B245" s="14">
        <f>dummy_variable_creation_sheet!B244</f>
        <v>45717</v>
      </c>
      <c r="C245" t="str">
        <f>dummy_variable_creation_sheet!C244</f>
        <v>South</v>
      </c>
      <c r="D245" t="str">
        <f>dummy_variable_creation_sheet!G244</f>
        <v>Airport</v>
      </c>
      <c r="E245">
        <f>dummy_variable_creation_sheet!S244</f>
        <v>828219.67</v>
      </c>
      <c r="F245">
        <f>multiple_regression_outputs!B275</f>
        <v>826083.81946143566</v>
      </c>
      <c r="G245">
        <f>multiple_regression_outputs!C275</f>
        <v>2135.8505385643803</v>
      </c>
    </row>
    <row r="246" spans="1:7">
      <c r="A246" t="str">
        <f>dummy_variable_creation_sheet!A243</f>
        <v>STR-1061</v>
      </c>
      <c r="B246" s="14">
        <f>dummy_variable_creation_sheet!B243</f>
        <v>45689</v>
      </c>
      <c r="C246" t="str">
        <f>dummy_variable_creation_sheet!C243</f>
        <v>South</v>
      </c>
      <c r="D246" t="str">
        <f>dummy_variable_creation_sheet!G243</f>
        <v>Airport</v>
      </c>
      <c r="E246">
        <f>dummy_variable_creation_sheet!S243</f>
        <v>676337.41</v>
      </c>
      <c r="F246">
        <f>multiple_regression_outputs!B274</f>
        <v>662432.91496797185</v>
      </c>
      <c r="G246">
        <f>multiple_regression_outputs!C274</f>
        <v>13904.495032028179</v>
      </c>
    </row>
    <row r="247" spans="1:7">
      <c r="A247" t="str">
        <f>dummy_variable_creation_sheet!A242</f>
        <v>STR-1061</v>
      </c>
      <c r="B247" s="14">
        <f>dummy_variable_creation_sheet!B242</f>
        <v>45658</v>
      </c>
      <c r="C247" t="str">
        <f>dummy_variable_creation_sheet!C242</f>
        <v>South</v>
      </c>
      <c r="D247" t="str">
        <f>dummy_variable_creation_sheet!G242</f>
        <v>Airport</v>
      </c>
      <c r="E247">
        <f>dummy_variable_creation_sheet!S242</f>
        <v>776992.93</v>
      </c>
      <c r="F247">
        <f>multiple_regression_outputs!B273</f>
        <v>751799.84525041573</v>
      </c>
      <c r="G247">
        <f>multiple_regression_outputs!C273</f>
        <v>25193.084749584319</v>
      </c>
    </row>
    <row r="248" spans="1:7">
      <c r="A248" t="str">
        <f>dummy_variable_creation_sheet!A248</f>
        <v>STR-1062</v>
      </c>
      <c r="B248" s="14">
        <f>dummy_variable_creation_sheet!B248</f>
        <v>45717</v>
      </c>
      <c r="C248" t="str">
        <f>dummy_variable_creation_sheet!C248</f>
        <v>East</v>
      </c>
      <c r="D248" t="str">
        <f>dummy_variable_creation_sheet!G248</f>
        <v>High Street</v>
      </c>
      <c r="E248">
        <f>dummy_variable_creation_sheet!S248</f>
        <v>679230.86</v>
      </c>
      <c r="F248">
        <f>multiple_regression_outputs!B279</f>
        <v>715179.05171267269</v>
      </c>
      <c r="G248">
        <f>multiple_regression_outputs!C279</f>
        <v>-35948.191712672706</v>
      </c>
    </row>
    <row r="249" spans="1:7">
      <c r="A249" t="str">
        <f>dummy_variable_creation_sheet!A249</f>
        <v>STR-1062</v>
      </c>
      <c r="B249" s="14">
        <f>dummy_variable_creation_sheet!B249</f>
        <v>45748</v>
      </c>
      <c r="C249" t="str">
        <f>dummy_variable_creation_sheet!C249</f>
        <v>East</v>
      </c>
      <c r="D249" t="str">
        <f>dummy_variable_creation_sheet!G249</f>
        <v>High Street</v>
      </c>
      <c r="E249">
        <f>dummy_variable_creation_sheet!S249</f>
        <v>679888.74</v>
      </c>
      <c r="F249">
        <f>multiple_regression_outputs!B280</f>
        <v>693268.28520049504</v>
      </c>
      <c r="G249">
        <f>multiple_regression_outputs!C280</f>
        <v>-13379.545200495049</v>
      </c>
    </row>
    <row r="250" spans="1:7">
      <c r="A250" t="str">
        <f>dummy_variable_creation_sheet!A247</f>
        <v>STR-1062</v>
      </c>
      <c r="B250" s="14">
        <f>dummy_variable_creation_sheet!B247</f>
        <v>45689</v>
      </c>
      <c r="C250" t="str">
        <f>dummy_variable_creation_sheet!C247</f>
        <v>East</v>
      </c>
      <c r="D250" t="str">
        <f>dummy_variable_creation_sheet!G247</f>
        <v>High Street</v>
      </c>
      <c r="E250">
        <f>dummy_variable_creation_sheet!S247</f>
        <v>750471.34</v>
      </c>
      <c r="F250">
        <f>multiple_regression_outputs!B278</f>
        <v>756726.88908616058</v>
      </c>
      <c r="G250">
        <f>multiple_regression_outputs!C278</f>
        <v>-6255.5490861606086</v>
      </c>
    </row>
    <row r="251" spans="1:7">
      <c r="A251" t="str">
        <f>dummy_variable_creation_sheet!A246</f>
        <v>STR-1062</v>
      </c>
      <c r="B251" s="14">
        <f>dummy_variable_creation_sheet!B246</f>
        <v>45658</v>
      </c>
      <c r="C251" t="str">
        <f>dummy_variable_creation_sheet!C246</f>
        <v>East</v>
      </c>
      <c r="D251" t="str">
        <f>dummy_variable_creation_sheet!G246</f>
        <v>High Street</v>
      </c>
      <c r="E251">
        <f>dummy_variable_creation_sheet!S246</f>
        <v>802001.68</v>
      </c>
      <c r="F251">
        <f>multiple_regression_outputs!B277</f>
        <v>795506.49294294475</v>
      </c>
      <c r="G251">
        <f>multiple_regression_outputs!C277</f>
        <v>6495.1870570553001</v>
      </c>
    </row>
    <row r="252" spans="1:7">
      <c r="A252" t="str">
        <f>dummy_variable_creation_sheet!A251</f>
        <v>STR-1063</v>
      </c>
      <c r="B252" s="14">
        <f>dummy_variable_creation_sheet!B251</f>
        <v>45689</v>
      </c>
      <c r="C252" t="str">
        <f>dummy_variable_creation_sheet!C251</f>
        <v>North</v>
      </c>
      <c r="D252" t="str">
        <f>dummy_variable_creation_sheet!G251</f>
        <v>High Street</v>
      </c>
      <c r="E252">
        <f>dummy_variable_creation_sheet!S251</f>
        <v>642751.42000000004</v>
      </c>
      <c r="F252">
        <f>multiple_regression_outputs!B282</f>
        <v>659957.18111136474</v>
      </c>
      <c r="G252">
        <f>multiple_regression_outputs!C282</f>
        <v>-17205.7611113647</v>
      </c>
    </row>
    <row r="253" spans="1:7">
      <c r="A253" t="str">
        <f>dummy_variable_creation_sheet!A252</f>
        <v>STR-1063</v>
      </c>
      <c r="B253" s="14">
        <f>dummy_variable_creation_sheet!B252</f>
        <v>45717</v>
      </c>
      <c r="C253" t="str">
        <f>dummy_variable_creation_sheet!C252</f>
        <v>North</v>
      </c>
      <c r="D253" t="str">
        <f>dummy_variable_creation_sheet!G252</f>
        <v>High Street</v>
      </c>
      <c r="E253">
        <f>dummy_variable_creation_sheet!S252</f>
        <v>647953.78</v>
      </c>
      <c r="F253">
        <f>multiple_regression_outputs!B283</f>
        <v>643670.89366246539</v>
      </c>
      <c r="G253">
        <f>multiple_regression_outputs!C283</f>
        <v>4282.8863375346409</v>
      </c>
    </row>
    <row r="254" spans="1:7">
      <c r="A254" t="str">
        <f>dummy_variable_creation_sheet!A250</f>
        <v>STR-1063</v>
      </c>
      <c r="B254" s="14">
        <f>dummy_variable_creation_sheet!B250</f>
        <v>45658</v>
      </c>
      <c r="C254" t="str">
        <f>dummy_variable_creation_sheet!C250</f>
        <v>North</v>
      </c>
      <c r="D254" t="str">
        <f>dummy_variable_creation_sheet!G250</f>
        <v>High Street</v>
      </c>
      <c r="E254">
        <f>dummy_variable_creation_sheet!S250</f>
        <v>606783.67000000004</v>
      </c>
      <c r="F254">
        <f>multiple_regression_outputs!B281</f>
        <v>594636.25071805879</v>
      </c>
      <c r="G254">
        <f>multiple_regression_outputs!C281</f>
        <v>12147.419281941256</v>
      </c>
    </row>
    <row r="255" spans="1:7">
      <c r="A255" t="str">
        <f>dummy_variable_creation_sheet!A253</f>
        <v>STR-1063</v>
      </c>
      <c r="B255" s="14">
        <f>dummy_variable_creation_sheet!B253</f>
        <v>45748</v>
      </c>
      <c r="C255" t="str">
        <f>dummy_variable_creation_sheet!C253</f>
        <v>North</v>
      </c>
      <c r="D255" t="str">
        <f>dummy_variable_creation_sheet!G253</f>
        <v>High Street</v>
      </c>
      <c r="E255">
        <f>dummy_variable_creation_sheet!S253</f>
        <v>729440.45</v>
      </c>
      <c r="F255">
        <f>multiple_regression_outputs!B284</f>
        <v>713360.11352351378</v>
      </c>
      <c r="G255">
        <f>multiple_regression_outputs!C284</f>
        <v>16080.336476486176</v>
      </c>
    </row>
    <row r="256" spans="1:7">
      <c r="A256" t="str">
        <f>dummy_variable_creation_sheet!A257</f>
        <v>STR-1064</v>
      </c>
      <c r="B256" s="14">
        <f>dummy_variable_creation_sheet!B257</f>
        <v>45748</v>
      </c>
      <c r="C256" t="str">
        <f>dummy_variable_creation_sheet!C257</f>
        <v>South</v>
      </c>
      <c r="D256" t="str">
        <f>dummy_variable_creation_sheet!G257</f>
        <v>Airport</v>
      </c>
      <c r="E256">
        <f>dummy_variable_creation_sheet!S257</f>
        <v>612390.14</v>
      </c>
      <c r="F256">
        <f>multiple_regression_outputs!B288</f>
        <v>660936.68573315954</v>
      </c>
      <c r="G256">
        <f>multiple_regression_outputs!C288</f>
        <v>-48546.545733159524</v>
      </c>
    </row>
    <row r="257" spans="1:7">
      <c r="A257" t="str">
        <f>dummy_variable_creation_sheet!A254</f>
        <v>STR-1064</v>
      </c>
      <c r="B257" s="14">
        <f>dummy_variable_creation_sheet!B254</f>
        <v>45658</v>
      </c>
      <c r="C257" t="str">
        <f>dummy_variable_creation_sheet!C254</f>
        <v>South</v>
      </c>
      <c r="D257" t="str">
        <f>dummy_variable_creation_sheet!G254</f>
        <v>Airport</v>
      </c>
      <c r="E257">
        <f>dummy_variable_creation_sheet!S254</f>
        <v>764949</v>
      </c>
      <c r="F257">
        <f>multiple_regression_outputs!B285</f>
        <v>776643.11051100504</v>
      </c>
      <c r="G257">
        <f>multiple_regression_outputs!C285</f>
        <v>-11694.110511005041</v>
      </c>
    </row>
    <row r="258" spans="1:7">
      <c r="A258" t="str">
        <f>dummy_variable_creation_sheet!A256</f>
        <v>STR-1064</v>
      </c>
      <c r="B258" s="14">
        <f>dummy_variable_creation_sheet!B256</f>
        <v>45717</v>
      </c>
      <c r="C258" t="str">
        <f>dummy_variable_creation_sheet!C256</f>
        <v>South</v>
      </c>
      <c r="D258" t="str">
        <f>dummy_variable_creation_sheet!G256</f>
        <v>Airport</v>
      </c>
      <c r="E258">
        <f>dummy_variable_creation_sheet!S256</f>
        <v>720079.54</v>
      </c>
      <c r="F258">
        <f>multiple_regression_outputs!B287</f>
        <v>696942.06054074666</v>
      </c>
      <c r="G258">
        <f>multiple_regression_outputs!C287</f>
        <v>23137.479459253373</v>
      </c>
    </row>
    <row r="259" spans="1:7">
      <c r="A259" t="str">
        <f>dummy_variable_creation_sheet!A255</f>
        <v>STR-1064</v>
      </c>
      <c r="B259" s="14">
        <f>dummy_variable_creation_sheet!B255</f>
        <v>45689</v>
      </c>
      <c r="C259" t="str">
        <f>dummy_variable_creation_sheet!C255</f>
        <v>South</v>
      </c>
      <c r="D259" t="str">
        <f>dummy_variable_creation_sheet!G255</f>
        <v>Airport</v>
      </c>
      <c r="E259">
        <f>dummy_variable_creation_sheet!S255</f>
        <v>799046.94</v>
      </c>
      <c r="F259">
        <f>multiple_regression_outputs!B286</f>
        <v>727973.89794129273</v>
      </c>
      <c r="G259">
        <f>multiple_regression_outputs!C286</f>
        <v>71073.042058707215</v>
      </c>
    </row>
    <row r="260" spans="1:7">
      <c r="A260" t="str">
        <f>dummy_variable_creation_sheet!A260</f>
        <v>STR-1065</v>
      </c>
      <c r="B260" s="14">
        <f>dummy_variable_creation_sheet!B260</f>
        <v>45717</v>
      </c>
      <c r="C260" t="str">
        <f>dummy_variable_creation_sheet!C260</f>
        <v>South</v>
      </c>
      <c r="D260" t="str">
        <f>dummy_variable_creation_sheet!G260</f>
        <v>Mall</v>
      </c>
      <c r="E260">
        <f>dummy_variable_creation_sheet!S260</f>
        <v>746115.59</v>
      </c>
      <c r="F260">
        <f>multiple_regression_outputs!B291</f>
        <v>744686.89567620552</v>
      </c>
      <c r="G260">
        <f>multiple_regression_outputs!C291</f>
        <v>1428.6943237944506</v>
      </c>
    </row>
    <row r="261" spans="1:7">
      <c r="A261" t="str">
        <f>dummy_variable_creation_sheet!A259</f>
        <v>STR-1065</v>
      </c>
      <c r="B261" s="14">
        <f>dummy_variable_creation_sheet!B259</f>
        <v>45689</v>
      </c>
      <c r="C261" t="str">
        <f>dummy_variable_creation_sheet!C259</f>
        <v>South</v>
      </c>
      <c r="D261" t="str">
        <f>dummy_variable_creation_sheet!G259</f>
        <v>Mall</v>
      </c>
      <c r="E261">
        <f>dummy_variable_creation_sheet!S259</f>
        <v>697888.09</v>
      </c>
      <c r="F261">
        <f>multiple_regression_outputs!B290</f>
        <v>678218.41044427652</v>
      </c>
      <c r="G261">
        <f>multiple_regression_outputs!C290</f>
        <v>19669.679555723444</v>
      </c>
    </row>
    <row r="262" spans="1:7">
      <c r="A262" t="str">
        <f>dummy_variable_creation_sheet!A261</f>
        <v>STR-1065</v>
      </c>
      <c r="B262" s="14">
        <f>dummy_variable_creation_sheet!B261</f>
        <v>45748</v>
      </c>
      <c r="C262" t="str">
        <f>dummy_variable_creation_sheet!C261</f>
        <v>South</v>
      </c>
      <c r="D262" t="str">
        <f>dummy_variable_creation_sheet!G261</f>
        <v>Mall</v>
      </c>
      <c r="E262">
        <f>dummy_variable_creation_sheet!S261</f>
        <v>776110.32</v>
      </c>
      <c r="F262">
        <f>multiple_regression_outputs!B292</f>
        <v>733191.57441327581</v>
      </c>
      <c r="G262">
        <f>multiple_regression_outputs!C292</f>
        <v>42918.745586724137</v>
      </c>
    </row>
    <row r="263" spans="1:7">
      <c r="A263" t="str">
        <f>dummy_variable_creation_sheet!A258</f>
        <v>STR-1065</v>
      </c>
      <c r="B263" s="14">
        <f>dummy_variable_creation_sheet!B258</f>
        <v>45658</v>
      </c>
      <c r="C263" t="str">
        <f>dummy_variable_creation_sheet!C258</f>
        <v>South</v>
      </c>
      <c r="D263" t="str">
        <f>dummy_variable_creation_sheet!G258</f>
        <v>Mall</v>
      </c>
      <c r="E263">
        <f>dummy_variable_creation_sheet!S258</f>
        <v>840108.12</v>
      </c>
      <c r="F263">
        <f>multiple_regression_outputs!B289</f>
        <v>759791.7299538462</v>
      </c>
      <c r="G263">
        <f>multiple_regression_outputs!C289</f>
        <v>80316.3900461538</v>
      </c>
    </row>
    <row r="264" spans="1:7">
      <c r="A264" t="str">
        <f>dummy_variable_creation_sheet!A263</f>
        <v>STR-1066</v>
      </c>
      <c r="B264" s="14">
        <f>dummy_variable_creation_sheet!B263</f>
        <v>45689</v>
      </c>
      <c r="C264" t="str">
        <f>dummy_variable_creation_sheet!C263</f>
        <v>West</v>
      </c>
      <c r="D264" t="str">
        <f>dummy_variable_creation_sheet!G263</f>
        <v>High Street</v>
      </c>
      <c r="E264">
        <f>dummy_variable_creation_sheet!S263</f>
        <v>605751.32999999996</v>
      </c>
      <c r="F264">
        <f>multiple_regression_outputs!B294</f>
        <v>600429.35591621487</v>
      </c>
      <c r="G264">
        <f>multiple_regression_outputs!C294</f>
        <v>5321.9740837850841</v>
      </c>
    </row>
    <row r="265" spans="1:7">
      <c r="A265" t="str">
        <f>dummy_variable_creation_sheet!A262</f>
        <v>STR-1066</v>
      </c>
      <c r="B265" s="14">
        <f>dummy_variable_creation_sheet!B262</f>
        <v>45658</v>
      </c>
      <c r="C265" t="str">
        <f>dummy_variable_creation_sheet!C262</f>
        <v>West</v>
      </c>
      <c r="D265" t="str">
        <f>dummy_variable_creation_sheet!G262</f>
        <v>High Street</v>
      </c>
      <c r="E265">
        <f>dummy_variable_creation_sheet!S262</f>
        <v>528852.62</v>
      </c>
      <c r="F265">
        <f>multiple_regression_outputs!B293</f>
        <v>519464.97530109331</v>
      </c>
      <c r="G265">
        <f>multiple_regression_outputs!C293</f>
        <v>9387.6446989066899</v>
      </c>
    </row>
    <row r="266" spans="1:7">
      <c r="A266" t="str">
        <f>dummy_variable_creation_sheet!A265</f>
        <v>STR-1066</v>
      </c>
      <c r="B266" s="14">
        <f>dummy_variable_creation_sheet!B265</f>
        <v>45748</v>
      </c>
      <c r="C266" t="str">
        <f>dummy_variable_creation_sheet!C265</f>
        <v>West</v>
      </c>
      <c r="D266" t="str">
        <f>dummy_variable_creation_sheet!G265</f>
        <v>High Street</v>
      </c>
      <c r="E266">
        <f>dummy_variable_creation_sheet!S265</f>
        <v>636613.23</v>
      </c>
      <c r="F266">
        <f>multiple_regression_outputs!B296</f>
        <v>609438.97820151085</v>
      </c>
      <c r="G266">
        <f>multiple_regression_outputs!C296</f>
        <v>27174.251798489131</v>
      </c>
    </row>
    <row r="267" spans="1:7">
      <c r="A267" t="str">
        <f>dummy_variable_creation_sheet!A264</f>
        <v>STR-1066</v>
      </c>
      <c r="B267" s="14">
        <f>dummy_variable_creation_sheet!B264</f>
        <v>45717</v>
      </c>
      <c r="C267" t="str">
        <f>dummy_variable_creation_sheet!C264</f>
        <v>West</v>
      </c>
      <c r="D267" t="str">
        <f>dummy_variable_creation_sheet!G264</f>
        <v>High Street</v>
      </c>
      <c r="E267">
        <f>dummy_variable_creation_sheet!S264</f>
        <v>677640.65</v>
      </c>
      <c r="F267">
        <f>multiple_regression_outputs!B295</f>
        <v>608034.70380394079</v>
      </c>
      <c r="G267">
        <f>multiple_regression_outputs!C295</f>
        <v>69605.946196059231</v>
      </c>
    </row>
    <row r="268" spans="1:7">
      <c r="A268" t="str">
        <f>dummy_variable_creation_sheet!A266</f>
        <v>STR-1067</v>
      </c>
      <c r="B268" s="14">
        <f>dummy_variable_creation_sheet!B266</f>
        <v>45658</v>
      </c>
      <c r="C268" t="str">
        <f>dummy_variable_creation_sheet!C266</f>
        <v>East</v>
      </c>
      <c r="D268" t="str">
        <f>dummy_variable_creation_sheet!G266</f>
        <v>High Street</v>
      </c>
      <c r="E268">
        <f>dummy_variable_creation_sheet!S266</f>
        <v>708985.19</v>
      </c>
      <c r="F268">
        <f>multiple_regression_outputs!B297</f>
        <v>734190.74112747749</v>
      </c>
      <c r="G268">
        <f>multiple_regression_outputs!C297</f>
        <v>-25205.551127477549</v>
      </c>
    </row>
    <row r="269" spans="1:7">
      <c r="A269" t="str">
        <f>dummy_variable_creation_sheet!A268</f>
        <v>STR-1067</v>
      </c>
      <c r="B269" s="14">
        <f>dummy_variable_creation_sheet!B268</f>
        <v>45717</v>
      </c>
      <c r="C269" t="str">
        <f>dummy_variable_creation_sheet!C268</f>
        <v>East</v>
      </c>
      <c r="D269" t="str">
        <f>dummy_variable_creation_sheet!G268</f>
        <v>High Street</v>
      </c>
      <c r="E269">
        <f>dummy_variable_creation_sheet!S268</f>
        <v>745580.51</v>
      </c>
      <c r="F269">
        <f>multiple_regression_outputs!B299</f>
        <v>726144.01947782515</v>
      </c>
      <c r="G269">
        <f>multiple_regression_outputs!C299</f>
        <v>19436.490522174863</v>
      </c>
    </row>
    <row r="270" spans="1:7">
      <c r="A270" t="str">
        <f>dummy_variable_creation_sheet!A269</f>
        <v>STR-1067</v>
      </c>
      <c r="B270" s="14">
        <f>dummy_variable_creation_sheet!B269</f>
        <v>45748</v>
      </c>
      <c r="C270" t="str">
        <f>dummy_variable_creation_sheet!C269</f>
        <v>East</v>
      </c>
      <c r="D270" t="str">
        <f>dummy_variable_creation_sheet!G269</f>
        <v>High Street</v>
      </c>
      <c r="E270">
        <f>dummy_variable_creation_sheet!S269</f>
        <v>762328.31</v>
      </c>
      <c r="F270">
        <f>multiple_regression_outputs!B300</f>
        <v>736852.9295739911</v>
      </c>
      <c r="G270">
        <f>multiple_regression_outputs!C300</f>
        <v>25475.380426008953</v>
      </c>
    </row>
    <row r="271" spans="1:7">
      <c r="A271" t="str">
        <f>dummy_variable_creation_sheet!A267</f>
        <v>STR-1067</v>
      </c>
      <c r="B271" s="14">
        <f>dummy_variable_creation_sheet!B267</f>
        <v>45689</v>
      </c>
      <c r="C271" t="str">
        <f>dummy_variable_creation_sheet!C267</f>
        <v>East</v>
      </c>
      <c r="D271" t="str">
        <f>dummy_variable_creation_sheet!G267</f>
        <v>High Street</v>
      </c>
      <c r="E271">
        <f>dummy_variable_creation_sheet!S267</f>
        <v>767792.94</v>
      </c>
      <c r="F271">
        <f>multiple_regression_outputs!B298</f>
        <v>739451.92626865488</v>
      </c>
      <c r="G271">
        <f>multiple_regression_outputs!C298</f>
        <v>28341.013731345069</v>
      </c>
    </row>
    <row r="272" spans="1:7">
      <c r="A272" t="str">
        <f>dummy_variable_creation_sheet!A270</f>
        <v>STR-1068</v>
      </c>
      <c r="B272" s="14">
        <f>dummy_variable_creation_sheet!B270</f>
        <v>45658</v>
      </c>
      <c r="C272" t="str">
        <f>dummy_variable_creation_sheet!C270</f>
        <v>East</v>
      </c>
      <c r="D272" t="str">
        <f>dummy_variable_creation_sheet!G270</f>
        <v>Mall</v>
      </c>
      <c r="E272">
        <f>dummy_variable_creation_sheet!S270</f>
        <v>660633.99</v>
      </c>
      <c r="F272">
        <f>multiple_regression_outputs!B301</f>
        <v>754801.95029841294</v>
      </c>
      <c r="G272">
        <f>multiple_regression_outputs!C301</f>
        <v>-94167.960298412945</v>
      </c>
    </row>
    <row r="273" spans="1:7">
      <c r="A273" t="str">
        <f>dummy_variable_creation_sheet!A273</f>
        <v>STR-1068</v>
      </c>
      <c r="B273" s="14">
        <f>dummy_variable_creation_sheet!B273</f>
        <v>45748</v>
      </c>
      <c r="C273" t="str">
        <f>dummy_variable_creation_sheet!C273</f>
        <v>East</v>
      </c>
      <c r="D273" t="str">
        <f>dummy_variable_creation_sheet!G273</f>
        <v>Mall</v>
      </c>
      <c r="E273">
        <f>dummy_variable_creation_sheet!S273</f>
        <v>593343</v>
      </c>
      <c r="F273">
        <f>multiple_regression_outputs!B304</f>
        <v>685376.43898000324</v>
      </c>
      <c r="G273">
        <f>multiple_regression_outputs!C304</f>
        <v>-92033.438980003237</v>
      </c>
    </row>
    <row r="274" spans="1:7">
      <c r="A274" t="str">
        <f>dummy_variable_creation_sheet!A272</f>
        <v>STR-1068</v>
      </c>
      <c r="B274" s="14">
        <f>dummy_variable_creation_sheet!B272</f>
        <v>45717</v>
      </c>
      <c r="C274" t="str">
        <f>dummy_variable_creation_sheet!C272</f>
        <v>East</v>
      </c>
      <c r="D274" t="str">
        <f>dummy_variable_creation_sheet!G272</f>
        <v>Mall</v>
      </c>
      <c r="E274">
        <f>dummy_variable_creation_sheet!S272</f>
        <v>799756.46</v>
      </c>
      <c r="F274">
        <f>multiple_regression_outputs!B303</f>
        <v>814948.23441268725</v>
      </c>
      <c r="G274">
        <f>multiple_regression_outputs!C303</f>
        <v>-15191.774412687286</v>
      </c>
    </row>
    <row r="275" spans="1:7">
      <c r="A275" t="str">
        <f>dummy_variable_creation_sheet!A271</f>
        <v>STR-1068</v>
      </c>
      <c r="B275" s="14">
        <f>dummy_variable_creation_sheet!B271</f>
        <v>45689</v>
      </c>
      <c r="C275" t="str">
        <f>dummy_variable_creation_sheet!C271</f>
        <v>East</v>
      </c>
      <c r="D275" t="str">
        <f>dummy_variable_creation_sheet!G271</f>
        <v>Mall</v>
      </c>
      <c r="E275">
        <f>dummy_variable_creation_sheet!S271</f>
        <v>739374.56</v>
      </c>
      <c r="F275">
        <f>multiple_regression_outputs!B302</f>
        <v>705057.46399506647</v>
      </c>
      <c r="G275">
        <f>multiple_regression_outputs!C302</f>
        <v>34317.096004933584</v>
      </c>
    </row>
    <row r="276" spans="1:7">
      <c r="A276" t="str">
        <f>dummy_variable_creation_sheet!A276</f>
        <v>STR-1069</v>
      </c>
      <c r="B276" s="14">
        <f>dummy_variable_creation_sheet!B276</f>
        <v>45717</v>
      </c>
      <c r="C276" t="str">
        <f>dummy_variable_creation_sheet!C276</f>
        <v>West</v>
      </c>
      <c r="D276" t="str">
        <f>dummy_variable_creation_sheet!G276</f>
        <v>High Street</v>
      </c>
      <c r="E276">
        <f>dummy_variable_creation_sheet!S276</f>
        <v>635837.74</v>
      </c>
      <c r="F276">
        <f>multiple_regression_outputs!B307</f>
        <v>647790.04587708064</v>
      </c>
      <c r="G276">
        <f>multiple_regression_outputs!C307</f>
        <v>-11952.305877080653</v>
      </c>
    </row>
    <row r="277" spans="1:7">
      <c r="A277" t="str">
        <f>dummy_variable_creation_sheet!A274</f>
        <v>STR-1069</v>
      </c>
      <c r="B277" s="14">
        <f>dummy_variable_creation_sheet!B274</f>
        <v>45658</v>
      </c>
      <c r="C277" t="str">
        <f>dummy_variable_creation_sheet!C274</f>
        <v>West</v>
      </c>
      <c r="D277" t="str">
        <f>dummy_variable_creation_sheet!G274</f>
        <v>High Street</v>
      </c>
      <c r="E277">
        <f>dummy_variable_creation_sheet!S274</f>
        <v>645039.97</v>
      </c>
      <c r="F277">
        <f>multiple_regression_outputs!B305</f>
        <v>641163.80440171016</v>
      </c>
      <c r="G277">
        <f>multiple_regression_outputs!C305</f>
        <v>3876.1655982898083</v>
      </c>
    </row>
    <row r="278" spans="1:7">
      <c r="A278" t="str">
        <f>dummy_variable_creation_sheet!A275</f>
        <v>STR-1069</v>
      </c>
      <c r="B278" s="14">
        <f>dummy_variable_creation_sheet!B275</f>
        <v>45689</v>
      </c>
      <c r="C278" t="str">
        <f>dummy_variable_creation_sheet!C275</f>
        <v>West</v>
      </c>
      <c r="D278" t="str">
        <f>dummy_variable_creation_sheet!G275</f>
        <v>High Street</v>
      </c>
      <c r="E278">
        <f>dummy_variable_creation_sheet!S275</f>
        <v>561597.32999999996</v>
      </c>
      <c r="F278">
        <f>multiple_regression_outputs!B306</f>
        <v>524740.96731525823</v>
      </c>
      <c r="G278">
        <f>multiple_regression_outputs!C306</f>
        <v>36856.362684741733</v>
      </c>
    </row>
    <row r="279" spans="1:7">
      <c r="A279" t="str">
        <f>dummy_variable_creation_sheet!A277</f>
        <v>STR-1069</v>
      </c>
      <c r="B279" s="14">
        <f>dummy_variable_creation_sheet!B277</f>
        <v>45748</v>
      </c>
      <c r="C279" t="str">
        <f>dummy_variable_creation_sheet!C277</f>
        <v>West</v>
      </c>
      <c r="D279" t="str">
        <f>dummy_variable_creation_sheet!G277</f>
        <v>High Street</v>
      </c>
      <c r="E279">
        <f>dummy_variable_creation_sheet!S277</f>
        <v>686737.87</v>
      </c>
      <c r="F279">
        <f>multiple_regression_outputs!B308</f>
        <v>598272.89181686111</v>
      </c>
      <c r="G279">
        <f>multiple_regression_outputs!C308</f>
        <v>88464.978183138883</v>
      </c>
    </row>
    <row r="280" spans="1:7">
      <c r="A280" t="str">
        <f>dummy_variable_creation_sheet!A278</f>
        <v>STR-1070</v>
      </c>
      <c r="B280" s="14">
        <f>dummy_variable_creation_sheet!B278</f>
        <v>45658</v>
      </c>
      <c r="C280" t="str">
        <f>dummy_variable_creation_sheet!C278</f>
        <v>South</v>
      </c>
      <c r="D280" t="str">
        <f>dummy_variable_creation_sheet!G278</f>
        <v>Residential</v>
      </c>
      <c r="E280">
        <f>dummy_variable_creation_sheet!S278</f>
        <v>673076.34</v>
      </c>
      <c r="F280">
        <f>multiple_regression_outputs!B309</f>
        <v>735293.50692152744</v>
      </c>
      <c r="G280">
        <f>multiple_regression_outputs!C309</f>
        <v>-62217.166921527474</v>
      </c>
    </row>
    <row r="281" spans="1:7">
      <c r="A281" t="str">
        <f>dummy_variable_creation_sheet!A281</f>
        <v>STR-1070</v>
      </c>
      <c r="B281" s="14">
        <f>dummy_variable_creation_sheet!B281</f>
        <v>45748</v>
      </c>
      <c r="C281" t="str">
        <f>dummy_variable_creation_sheet!C281</f>
        <v>South</v>
      </c>
      <c r="D281" t="str">
        <f>dummy_variable_creation_sheet!G281</f>
        <v>Residential</v>
      </c>
      <c r="E281">
        <f>dummy_variable_creation_sheet!S281</f>
        <v>761122.42</v>
      </c>
      <c r="F281">
        <f>multiple_regression_outputs!B312</f>
        <v>769770.78270300571</v>
      </c>
      <c r="G281">
        <f>multiple_regression_outputs!C312</f>
        <v>-8648.3627030056668</v>
      </c>
    </row>
    <row r="282" spans="1:7">
      <c r="A282" t="str">
        <f>dummy_variable_creation_sheet!A280</f>
        <v>STR-1070</v>
      </c>
      <c r="B282" s="14">
        <f>dummy_variable_creation_sheet!B280</f>
        <v>45717</v>
      </c>
      <c r="C282" t="str">
        <f>dummy_variable_creation_sheet!C280</f>
        <v>South</v>
      </c>
      <c r="D282" t="str">
        <f>dummy_variable_creation_sheet!G280</f>
        <v>Residential</v>
      </c>
      <c r="E282">
        <f>dummy_variable_creation_sheet!S280</f>
        <v>756619.77</v>
      </c>
      <c r="F282">
        <f>multiple_regression_outputs!B311</f>
        <v>737931.93182976346</v>
      </c>
      <c r="G282">
        <f>multiple_regression_outputs!C311</f>
        <v>18687.838170236559</v>
      </c>
    </row>
    <row r="283" spans="1:7">
      <c r="A283" t="str">
        <f>dummy_variable_creation_sheet!A279</f>
        <v>STR-1070</v>
      </c>
      <c r="B283" s="14">
        <f>dummy_variable_creation_sheet!B279</f>
        <v>45689</v>
      </c>
      <c r="C283" t="str">
        <f>dummy_variable_creation_sheet!C279</f>
        <v>South</v>
      </c>
      <c r="D283" t="str">
        <f>dummy_variable_creation_sheet!G279</f>
        <v>Residential</v>
      </c>
      <c r="E283">
        <f>dummy_variable_creation_sheet!S279</f>
        <v>738548.42</v>
      </c>
      <c r="F283">
        <f>multiple_regression_outputs!B310</f>
        <v>698820.58292866964</v>
      </c>
      <c r="G283">
        <f>multiple_regression_outputs!C310</f>
        <v>39727.837071330403</v>
      </c>
    </row>
    <row r="284" spans="1:7">
      <c r="A284" t="str">
        <f>dummy_variable_creation_sheet!A282</f>
        <v>STR-1071</v>
      </c>
      <c r="B284" s="14">
        <f>dummy_variable_creation_sheet!B282</f>
        <v>45658</v>
      </c>
      <c r="C284" t="str">
        <f>dummy_variable_creation_sheet!C282</f>
        <v>South</v>
      </c>
      <c r="D284" t="str">
        <f>dummy_variable_creation_sheet!G282</f>
        <v>High Street</v>
      </c>
      <c r="E284">
        <f>dummy_variable_creation_sheet!S282</f>
        <v>524899.56999999995</v>
      </c>
      <c r="F284">
        <f>multiple_regression_outputs!B313</f>
        <v>570888.79159050551</v>
      </c>
      <c r="G284">
        <f>multiple_regression_outputs!C313</f>
        <v>-45989.221590505564</v>
      </c>
    </row>
    <row r="285" spans="1:7">
      <c r="A285" t="str">
        <f>dummy_variable_creation_sheet!A283</f>
        <v>STR-1071</v>
      </c>
      <c r="B285" s="14">
        <f>dummy_variable_creation_sheet!B283</f>
        <v>45689</v>
      </c>
      <c r="C285" t="str">
        <f>dummy_variable_creation_sheet!C283</f>
        <v>South</v>
      </c>
      <c r="D285" t="str">
        <f>dummy_variable_creation_sheet!G283</f>
        <v>High Street</v>
      </c>
      <c r="E285">
        <f>dummy_variable_creation_sheet!S283</f>
        <v>555557.77</v>
      </c>
      <c r="F285">
        <f>multiple_regression_outputs!B314</f>
        <v>584847.92982665729</v>
      </c>
      <c r="G285">
        <f>multiple_regression_outputs!C314</f>
        <v>-29290.159826657269</v>
      </c>
    </row>
    <row r="286" spans="1:7">
      <c r="A286" t="str">
        <f>dummy_variable_creation_sheet!A285</f>
        <v>STR-1071</v>
      </c>
      <c r="B286" s="14">
        <f>dummy_variable_creation_sheet!B285</f>
        <v>45748</v>
      </c>
      <c r="C286" t="str">
        <f>dummy_variable_creation_sheet!C285</f>
        <v>South</v>
      </c>
      <c r="D286" t="str">
        <f>dummy_variable_creation_sheet!G285</f>
        <v>High Street</v>
      </c>
      <c r="E286">
        <f>dummy_variable_creation_sheet!S285</f>
        <v>497439.82</v>
      </c>
      <c r="F286">
        <f>multiple_regression_outputs!B316</f>
        <v>496101.44275785168</v>
      </c>
      <c r="G286">
        <f>multiple_regression_outputs!C316</f>
        <v>1338.37724214833</v>
      </c>
    </row>
    <row r="287" spans="1:7">
      <c r="A287" t="str">
        <f>dummy_variable_creation_sheet!A284</f>
        <v>STR-1071</v>
      </c>
      <c r="B287" s="14">
        <f>dummy_variable_creation_sheet!B284</f>
        <v>45717</v>
      </c>
      <c r="C287" t="str">
        <f>dummy_variable_creation_sheet!C284</f>
        <v>South</v>
      </c>
      <c r="D287" t="str">
        <f>dummy_variable_creation_sheet!G284</f>
        <v>High Street</v>
      </c>
      <c r="E287">
        <f>dummy_variable_creation_sheet!S284</f>
        <v>714083.68</v>
      </c>
      <c r="F287">
        <f>multiple_regression_outputs!B315</f>
        <v>690749.71204276965</v>
      </c>
      <c r="G287">
        <f>multiple_regression_outputs!C315</f>
        <v>23333.967957230401</v>
      </c>
    </row>
    <row r="288" spans="1:7">
      <c r="A288" t="str">
        <f>dummy_variable_creation_sheet!A286</f>
        <v>STR-1072</v>
      </c>
      <c r="B288" s="14">
        <f>dummy_variable_creation_sheet!B286</f>
        <v>45658</v>
      </c>
      <c r="C288" t="str">
        <f>dummy_variable_creation_sheet!C286</f>
        <v>West</v>
      </c>
      <c r="D288" t="str">
        <f>dummy_variable_creation_sheet!G286</f>
        <v>Residential</v>
      </c>
      <c r="E288">
        <f>dummy_variable_creation_sheet!S286</f>
        <v>636775.66</v>
      </c>
      <c r="F288">
        <f>multiple_regression_outputs!B317</f>
        <v>636195.05305529782</v>
      </c>
      <c r="G288">
        <f>multiple_regression_outputs!C317</f>
        <v>580.60694470221642</v>
      </c>
    </row>
    <row r="289" spans="1:7">
      <c r="A289" t="str">
        <f>dummy_variable_creation_sheet!A289</f>
        <v>STR-1072</v>
      </c>
      <c r="B289" s="14">
        <f>dummy_variable_creation_sheet!B289</f>
        <v>45748</v>
      </c>
      <c r="C289" t="str">
        <f>dummy_variable_creation_sheet!C289</f>
        <v>West</v>
      </c>
      <c r="D289" t="str">
        <f>dummy_variable_creation_sheet!G289</f>
        <v>Residential</v>
      </c>
      <c r="E289">
        <f>dummy_variable_creation_sheet!S289</f>
        <v>548103.69999999995</v>
      </c>
      <c r="F289">
        <f>multiple_regression_outputs!B320</f>
        <v>542908.27793952054</v>
      </c>
      <c r="G289">
        <f>multiple_regression_outputs!C320</f>
        <v>5195.42206047941</v>
      </c>
    </row>
    <row r="290" spans="1:7">
      <c r="A290" t="str">
        <f>dummy_variable_creation_sheet!A287</f>
        <v>STR-1072</v>
      </c>
      <c r="B290" s="14">
        <f>dummy_variable_creation_sheet!B287</f>
        <v>45689</v>
      </c>
      <c r="C290" t="str">
        <f>dummy_variable_creation_sheet!C287</f>
        <v>West</v>
      </c>
      <c r="D290" t="str">
        <f>dummy_variable_creation_sheet!G287</f>
        <v>Residential</v>
      </c>
      <c r="E290">
        <f>dummy_variable_creation_sheet!S287</f>
        <v>633009.53</v>
      </c>
      <c r="F290">
        <f>multiple_regression_outputs!B318</f>
        <v>621324.00419255812</v>
      </c>
      <c r="G290">
        <f>multiple_regression_outputs!C318</f>
        <v>11685.525807441911</v>
      </c>
    </row>
    <row r="291" spans="1:7">
      <c r="A291" t="str">
        <f>dummy_variable_creation_sheet!A288</f>
        <v>STR-1072</v>
      </c>
      <c r="B291" s="14">
        <f>dummy_variable_creation_sheet!B288</f>
        <v>45717</v>
      </c>
      <c r="C291" t="str">
        <f>dummy_variable_creation_sheet!C288</f>
        <v>West</v>
      </c>
      <c r="D291" t="str">
        <f>dummy_variable_creation_sheet!G288</f>
        <v>Residential</v>
      </c>
      <c r="E291">
        <f>dummy_variable_creation_sheet!S288</f>
        <v>609949</v>
      </c>
      <c r="F291">
        <f>multiple_regression_outputs!B319</f>
        <v>590312.18978427071</v>
      </c>
      <c r="G291">
        <f>multiple_regression_outputs!C319</f>
        <v>19636.810215729289</v>
      </c>
    </row>
    <row r="292" spans="1:7">
      <c r="A292" t="str">
        <f>dummy_variable_creation_sheet!A291</f>
        <v>STR-1073</v>
      </c>
      <c r="B292" s="14">
        <f>dummy_variable_creation_sheet!B291</f>
        <v>45689</v>
      </c>
      <c r="C292" t="str">
        <f>dummy_variable_creation_sheet!C291</f>
        <v>East</v>
      </c>
      <c r="D292" t="str">
        <f>dummy_variable_creation_sheet!G291</f>
        <v>Residential</v>
      </c>
      <c r="E292">
        <f>dummy_variable_creation_sheet!S291</f>
        <v>696261.49</v>
      </c>
      <c r="F292">
        <f>multiple_regression_outputs!B322</f>
        <v>713404.33592845534</v>
      </c>
      <c r="G292">
        <f>multiple_regression_outputs!C322</f>
        <v>-17142.845928455354</v>
      </c>
    </row>
    <row r="293" spans="1:7">
      <c r="A293" t="str">
        <f>dummy_variable_creation_sheet!A293</f>
        <v>STR-1073</v>
      </c>
      <c r="B293" s="14">
        <f>dummy_variable_creation_sheet!B293</f>
        <v>45748</v>
      </c>
      <c r="C293" t="str">
        <f>dummy_variable_creation_sheet!C293</f>
        <v>East</v>
      </c>
      <c r="D293" t="str">
        <f>dummy_variable_creation_sheet!G293</f>
        <v>Residential</v>
      </c>
      <c r="E293">
        <f>dummy_variable_creation_sheet!S293</f>
        <v>702068.92</v>
      </c>
      <c r="F293">
        <f>multiple_regression_outputs!B324</f>
        <v>712929.68163381703</v>
      </c>
      <c r="G293">
        <f>multiple_regression_outputs!C324</f>
        <v>-10860.76163381699</v>
      </c>
    </row>
    <row r="294" spans="1:7">
      <c r="A294" t="str">
        <f>dummy_variable_creation_sheet!A290</f>
        <v>STR-1073</v>
      </c>
      <c r="B294" s="14">
        <f>dummy_variable_creation_sheet!B290</f>
        <v>45658</v>
      </c>
      <c r="C294" t="str">
        <f>dummy_variable_creation_sheet!C290</f>
        <v>East</v>
      </c>
      <c r="D294" t="str">
        <f>dummy_variable_creation_sheet!G290</f>
        <v>Residential</v>
      </c>
      <c r="E294">
        <f>dummy_variable_creation_sheet!S290</f>
        <v>729424.42</v>
      </c>
      <c r="F294">
        <f>multiple_regression_outputs!B321</f>
        <v>690247.36692116561</v>
      </c>
      <c r="G294">
        <f>multiple_regression_outputs!C321</f>
        <v>39177.053078834433</v>
      </c>
    </row>
    <row r="295" spans="1:7">
      <c r="A295" t="str">
        <f>dummy_variable_creation_sheet!A292</f>
        <v>STR-1073</v>
      </c>
      <c r="B295" s="14">
        <f>dummy_variable_creation_sheet!B292</f>
        <v>45717</v>
      </c>
      <c r="C295" t="str">
        <f>dummy_variable_creation_sheet!C292</f>
        <v>East</v>
      </c>
      <c r="D295" t="str">
        <f>dummy_variable_creation_sheet!G292</f>
        <v>Residential</v>
      </c>
      <c r="E295">
        <f>dummy_variable_creation_sheet!S292</f>
        <v>813316.71</v>
      </c>
      <c r="F295">
        <f>multiple_regression_outputs!B323</f>
        <v>713693.29972397513</v>
      </c>
      <c r="G295">
        <f>multiple_regression_outputs!C323</f>
        <v>99623.410276024835</v>
      </c>
    </row>
    <row r="296" spans="1:7">
      <c r="A296" t="str">
        <f>dummy_variable_creation_sheet!A294</f>
        <v>STR-1074</v>
      </c>
      <c r="B296" s="14">
        <f>dummy_variable_creation_sheet!B294</f>
        <v>45658</v>
      </c>
      <c r="C296" t="str">
        <f>dummy_variable_creation_sheet!C294</f>
        <v>West</v>
      </c>
      <c r="D296" t="str">
        <f>dummy_variable_creation_sheet!G294</f>
        <v>High Street</v>
      </c>
      <c r="E296">
        <f>dummy_variable_creation_sheet!S294</f>
        <v>546223.69999999995</v>
      </c>
      <c r="F296">
        <f>multiple_regression_outputs!B325</f>
        <v>581131.58940503991</v>
      </c>
      <c r="G296">
        <f>multiple_regression_outputs!C325</f>
        <v>-34907.889405039954</v>
      </c>
    </row>
    <row r="297" spans="1:7">
      <c r="A297" t="str">
        <f>dummy_variable_creation_sheet!A296</f>
        <v>STR-1074</v>
      </c>
      <c r="B297" s="14">
        <f>dummy_variable_creation_sheet!B296</f>
        <v>45717</v>
      </c>
      <c r="C297" t="str">
        <f>dummy_variable_creation_sheet!C296</f>
        <v>West</v>
      </c>
      <c r="D297" t="str">
        <f>dummy_variable_creation_sheet!G296</f>
        <v>High Street</v>
      </c>
      <c r="E297">
        <f>dummy_variable_creation_sheet!S296</f>
        <v>498970.32</v>
      </c>
      <c r="F297">
        <f>multiple_regression_outputs!B327</f>
        <v>489973.08180090412</v>
      </c>
      <c r="G297">
        <f>multiple_regression_outputs!C327</f>
        <v>8997.238199095882</v>
      </c>
    </row>
    <row r="298" spans="1:7">
      <c r="A298" t="str">
        <f>dummy_variable_creation_sheet!A295</f>
        <v>STR-1074</v>
      </c>
      <c r="B298" s="14">
        <f>dummy_variable_creation_sheet!B295</f>
        <v>45689</v>
      </c>
      <c r="C298" t="str">
        <f>dummy_variable_creation_sheet!C295</f>
        <v>West</v>
      </c>
      <c r="D298" t="str">
        <f>dummy_variable_creation_sheet!G295</f>
        <v>High Street</v>
      </c>
      <c r="E298">
        <f>dummy_variable_creation_sheet!S295</f>
        <v>533121.26</v>
      </c>
      <c r="F298">
        <f>multiple_regression_outputs!B326</f>
        <v>522228.42020516616</v>
      </c>
      <c r="G298">
        <f>multiple_regression_outputs!C326</f>
        <v>10892.839794833853</v>
      </c>
    </row>
    <row r="299" spans="1:7">
      <c r="A299" t="str">
        <f>dummy_variable_creation_sheet!A297</f>
        <v>STR-1074</v>
      </c>
      <c r="B299" s="14">
        <f>dummy_variable_creation_sheet!B297</f>
        <v>45748</v>
      </c>
      <c r="C299" t="str">
        <f>dummy_variable_creation_sheet!C297</f>
        <v>West</v>
      </c>
      <c r="D299" t="str">
        <f>dummy_variable_creation_sheet!G297</f>
        <v>High Street</v>
      </c>
      <c r="E299">
        <f>dummy_variable_creation_sheet!S297</f>
        <v>487738.26</v>
      </c>
      <c r="F299">
        <f>multiple_regression_outputs!B328</f>
        <v>459871.31260669976</v>
      </c>
      <c r="G299">
        <f>multiple_regression_outputs!C328</f>
        <v>27866.947393300245</v>
      </c>
    </row>
    <row r="300" spans="1:7">
      <c r="A300" t="str">
        <f>dummy_variable_creation_sheet!A301</f>
        <v>STR-1075</v>
      </c>
      <c r="B300" s="14">
        <f>dummy_variable_creation_sheet!B301</f>
        <v>45748</v>
      </c>
      <c r="C300" t="str">
        <f>dummy_variable_creation_sheet!C301</f>
        <v>West</v>
      </c>
      <c r="D300" t="str">
        <f>dummy_variable_creation_sheet!G301</f>
        <v>High Street</v>
      </c>
      <c r="E300">
        <f>dummy_variable_creation_sheet!S301</f>
        <v>401582.58</v>
      </c>
      <c r="F300">
        <f>multiple_regression_outputs!B332</f>
        <v>475638.93012828339</v>
      </c>
      <c r="G300">
        <f>multiple_regression_outputs!C332</f>
        <v>-74056.350128283375</v>
      </c>
    </row>
    <row r="301" spans="1:7">
      <c r="A301" t="str">
        <f>dummy_variable_creation_sheet!A300</f>
        <v>STR-1075</v>
      </c>
      <c r="B301" s="14">
        <f>dummy_variable_creation_sheet!B300</f>
        <v>45717</v>
      </c>
      <c r="C301" t="str">
        <f>dummy_variable_creation_sheet!C300</f>
        <v>West</v>
      </c>
      <c r="D301" t="str">
        <f>dummy_variable_creation_sheet!G300</f>
        <v>High Street</v>
      </c>
      <c r="E301">
        <f>dummy_variable_creation_sheet!S300</f>
        <v>599017.32999999996</v>
      </c>
      <c r="F301">
        <f>multiple_regression_outputs!B331</f>
        <v>624110.86333097296</v>
      </c>
      <c r="G301">
        <f>multiple_regression_outputs!C331</f>
        <v>-25093.533330973005</v>
      </c>
    </row>
    <row r="302" spans="1:7">
      <c r="A302" t="str">
        <f>dummy_variable_creation_sheet!A298</f>
        <v>STR-1075</v>
      </c>
      <c r="B302" s="14">
        <f>dummy_variable_creation_sheet!B298</f>
        <v>45658</v>
      </c>
      <c r="C302" t="str">
        <f>dummy_variable_creation_sheet!C298</f>
        <v>West</v>
      </c>
      <c r="D302" t="str">
        <f>dummy_variable_creation_sheet!G298</f>
        <v>High Street</v>
      </c>
      <c r="E302">
        <f>dummy_variable_creation_sheet!S298</f>
        <v>668459.37</v>
      </c>
      <c r="F302">
        <f>multiple_regression_outputs!B329</f>
        <v>677490.0441778393</v>
      </c>
      <c r="G302">
        <f>multiple_regression_outputs!C329</f>
        <v>-9030.6741778393043</v>
      </c>
    </row>
    <row r="303" spans="1:7">
      <c r="A303" t="str">
        <f>dummy_variable_creation_sheet!A299</f>
        <v>STR-1075</v>
      </c>
      <c r="B303" s="14">
        <f>dummy_variable_creation_sheet!B299</f>
        <v>45689</v>
      </c>
      <c r="C303" t="str">
        <f>dummy_variable_creation_sheet!C299</f>
        <v>West</v>
      </c>
      <c r="D303" t="str">
        <f>dummy_variable_creation_sheet!G299</f>
        <v>High Street</v>
      </c>
      <c r="E303">
        <f>dummy_variable_creation_sheet!S299</f>
        <v>763162.45</v>
      </c>
      <c r="F303">
        <f>multiple_regression_outputs!B330</f>
        <v>682998.49657781748</v>
      </c>
      <c r="G303">
        <f>multiple_regression_outputs!C330</f>
        <v>80163.953422182472</v>
      </c>
    </row>
    <row r="304" spans="1:7">
      <c r="A304" t="str">
        <f>dummy_variable_creation_sheet!A302</f>
        <v>STR-1076</v>
      </c>
      <c r="B304" s="14">
        <f>dummy_variable_creation_sheet!B302</f>
        <v>45658</v>
      </c>
      <c r="C304" t="str">
        <f>dummy_variable_creation_sheet!C302</f>
        <v>North</v>
      </c>
      <c r="D304" t="str">
        <f>dummy_variable_creation_sheet!G302</f>
        <v>Mall</v>
      </c>
      <c r="E304">
        <f>dummy_variable_creation_sheet!S302</f>
        <v>703812.99</v>
      </c>
      <c r="F304">
        <f>multiple_regression_outputs!B333</f>
        <v>729917.98021637113</v>
      </c>
      <c r="G304">
        <f>multiple_regression_outputs!C333</f>
        <v>-26104.990216371138</v>
      </c>
    </row>
    <row r="305" spans="1:7">
      <c r="A305" t="str">
        <f>dummy_variable_creation_sheet!A303</f>
        <v>STR-1076</v>
      </c>
      <c r="B305" s="14">
        <f>dummy_variable_creation_sheet!B303</f>
        <v>45689</v>
      </c>
      <c r="C305" t="str">
        <f>dummy_variable_creation_sheet!C303</f>
        <v>North</v>
      </c>
      <c r="D305" t="str">
        <f>dummy_variable_creation_sheet!G303</f>
        <v>Mall</v>
      </c>
      <c r="E305">
        <f>dummy_variable_creation_sheet!S303</f>
        <v>724346.73</v>
      </c>
      <c r="F305">
        <f>multiple_regression_outputs!B334</f>
        <v>737507.87772599957</v>
      </c>
      <c r="G305">
        <f>multiple_regression_outputs!C334</f>
        <v>-13161.147725999588</v>
      </c>
    </row>
    <row r="306" spans="1:7">
      <c r="A306" t="str">
        <f>dummy_variable_creation_sheet!A304</f>
        <v>STR-1076</v>
      </c>
      <c r="B306" s="14">
        <f>dummy_variable_creation_sheet!B304</f>
        <v>45717</v>
      </c>
      <c r="C306" t="str">
        <f>dummy_variable_creation_sheet!C304</f>
        <v>North</v>
      </c>
      <c r="D306" t="str">
        <f>dummy_variable_creation_sheet!G304</f>
        <v>Mall</v>
      </c>
      <c r="E306">
        <f>dummy_variable_creation_sheet!S304</f>
        <v>730890.01</v>
      </c>
      <c r="F306">
        <f>multiple_regression_outputs!B335</f>
        <v>742146.74205641297</v>
      </c>
      <c r="G306">
        <f>multiple_regression_outputs!C335</f>
        <v>-11256.732056412962</v>
      </c>
    </row>
    <row r="307" spans="1:7">
      <c r="A307" t="str">
        <f>dummy_variable_creation_sheet!A305</f>
        <v>STR-1076</v>
      </c>
      <c r="B307" s="14">
        <f>dummy_variable_creation_sheet!B305</f>
        <v>45748</v>
      </c>
      <c r="C307" t="str">
        <f>dummy_variable_creation_sheet!C305</f>
        <v>North</v>
      </c>
      <c r="D307" t="str">
        <f>dummy_variable_creation_sheet!G305</f>
        <v>Mall</v>
      </c>
      <c r="E307">
        <f>dummy_variable_creation_sheet!S305</f>
        <v>780580.95</v>
      </c>
      <c r="F307">
        <f>multiple_regression_outputs!B336</f>
        <v>728560.38626781921</v>
      </c>
      <c r="G307">
        <f>multiple_regression_outputs!C336</f>
        <v>52020.563732180744</v>
      </c>
    </row>
    <row r="308" spans="1:7">
      <c r="A308" t="str">
        <f>dummy_variable_creation_sheet!A307</f>
        <v>STR-1077</v>
      </c>
      <c r="B308" s="14">
        <f>dummy_variable_creation_sheet!B307</f>
        <v>45689</v>
      </c>
      <c r="C308" t="str">
        <f>dummy_variable_creation_sheet!C307</f>
        <v>South</v>
      </c>
      <c r="D308" t="str">
        <f>dummy_variable_creation_sheet!G307</f>
        <v>Residential</v>
      </c>
      <c r="E308">
        <f>dummy_variable_creation_sheet!S307</f>
        <v>538376</v>
      </c>
      <c r="F308">
        <f>multiple_regression_outputs!B338</f>
        <v>627543.75128203805</v>
      </c>
      <c r="G308">
        <f>multiple_regression_outputs!C338</f>
        <v>-89167.751282038051</v>
      </c>
    </row>
    <row r="309" spans="1:7">
      <c r="A309" t="str">
        <f>dummy_variable_creation_sheet!A309</f>
        <v>STR-1077</v>
      </c>
      <c r="B309" s="14">
        <f>dummy_variable_creation_sheet!B309</f>
        <v>45748</v>
      </c>
      <c r="C309" t="str">
        <f>dummy_variable_creation_sheet!C309</f>
        <v>South</v>
      </c>
      <c r="D309" t="str">
        <f>dummy_variable_creation_sheet!G309</f>
        <v>Residential</v>
      </c>
      <c r="E309">
        <f>dummy_variable_creation_sheet!S309</f>
        <v>651164.18000000005</v>
      </c>
      <c r="F309">
        <f>multiple_regression_outputs!B340</f>
        <v>699182.4725326125</v>
      </c>
      <c r="G309">
        <f>multiple_regression_outputs!C340</f>
        <v>-48018.292532612453</v>
      </c>
    </row>
    <row r="310" spans="1:7">
      <c r="A310" t="str">
        <f>dummy_variable_creation_sheet!A306</f>
        <v>STR-1077</v>
      </c>
      <c r="B310" s="14">
        <f>dummy_variable_creation_sheet!B306</f>
        <v>45658</v>
      </c>
      <c r="C310" t="str">
        <f>dummy_variable_creation_sheet!C306</f>
        <v>South</v>
      </c>
      <c r="D310" t="str">
        <f>dummy_variable_creation_sheet!G306</f>
        <v>Residential</v>
      </c>
      <c r="E310">
        <f>dummy_variable_creation_sheet!S306</f>
        <v>727957.48</v>
      </c>
      <c r="F310">
        <f>multiple_regression_outputs!B337</f>
        <v>677173.03694308829</v>
      </c>
      <c r="G310">
        <f>multiple_regression_outputs!C337</f>
        <v>50784.443056911696</v>
      </c>
    </row>
    <row r="311" spans="1:7">
      <c r="A311" t="str">
        <f>dummy_variable_creation_sheet!A308</f>
        <v>STR-1077</v>
      </c>
      <c r="B311" s="14">
        <f>dummy_variable_creation_sheet!B308</f>
        <v>45717</v>
      </c>
      <c r="C311" t="str">
        <f>dummy_variable_creation_sheet!C308</f>
        <v>South</v>
      </c>
      <c r="D311" t="str">
        <f>dummy_variable_creation_sheet!G308</f>
        <v>Residential</v>
      </c>
      <c r="E311">
        <f>dummy_variable_creation_sheet!S308</f>
        <v>665342.49</v>
      </c>
      <c r="F311">
        <f>multiple_regression_outputs!B339</f>
        <v>607749.68163595977</v>
      </c>
      <c r="G311">
        <f>multiple_regression_outputs!C339</f>
        <v>57592.808364040218</v>
      </c>
    </row>
    <row r="312" spans="1:7">
      <c r="A312" t="str">
        <f>dummy_variable_creation_sheet!A311</f>
        <v>STR-1078</v>
      </c>
      <c r="B312" s="14">
        <f>dummy_variable_creation_sheet!B311</f>
        <v>45689</v>
      </c>
      <c r="C312" t="str">
        <f>dummy_variable_creation_sheet!C311</f>
        <v>South</v>
      </c>
      <c r="D312" t="str">
        <f>dummy_variable_creation_sheet!G311</f>
        <v>High Street</v>
      </c>
      <c r="E312">
        <f>dummy_variable_creation_sheet!S311</f>
        <v>536524.84</v>
      </c>
      <c r="F312">
        <f>multiple_regression_outputs!B342</f>
        <v>571810.50663738197</v>
      </c>
      <c r="G312">
        <f>multiple_regression_outputs!C342</f>
        <v>-35285.666637382004</v>
      </c>
    </row>
    <row r="313" spans="1:7">
      <c r="A313" t="str">
        <f>dummy_variable_creation_sheet!A310</f>
        <v>STR-1078</v>
      </c>
      <c r="B313" s="14">
        <f>dummy_variable_creation_sheet!B310</f>
        <v>45658</v>
      </c>
      <c r="C313" t="str">
        <f>dummy_variable_creation_sheet!C310</f>
        <v>South</v>
      </c>
      <c r="D313" t="str">
        <f>dummy_variable_creation_sheet!G310</f>
        <v>High Street</v>
      </c>
      <c r="E313">
        <f>dummy_variable_creation_sheet!S310</f>
        <v>628538.30000000005</v>
      </c>
      <c r="F313">
        <f>multiple_regression_outputs!B341</f>
        <v>640804.08954855462</v>
      </c>
      <c r="G313">
        <f>multiple_regression_outputs!C341</f>
        <v>-12265.789548554574</v>
      </c>
    </row>
    <row r="314" spans="1:7">
      <c r="A314" t="str">
        <f>dummy_variable_creation_sheet!A312</f>
        <v>STR-1078</v>
      </c>
      <c r="B314" s="14">
        <f>dummy_variable_creation_sheet!B312</f>
        <v>45717</v>
      </c>
      <c r="C314" t="str">
        <f>dummy_variable_creation_sheet!C312</f>
        <v>South</v>
      </c>
      <c r="D314" t="str">
        <f>dummy_variable_creation_sheet!G312</f>
        <v>High Street</v>
      </c>
      <c r="E314">
        <f>dummy_variable_creation_sheet!S312</f>
        <v>621677.30000000005</v>
      </c>
      <c r="F314">
        <f>multiple_regression_outputs!B343</f>
        <v>628577.33692738786</v>
      </c>
      <c r="G314">
        <f>multiple_regression_outputs!C343</f>
        <v>-6900.0369273878168</v>
      </c>
    </row>
    <row r="315" spans="1:7">
      <c r="A315" t="str">
        <f>dummy_variable_creation_sheet!A313</f>
        <v>STR-1078</v>
      </c>
      <c r="B315" s="14">
        <f>dummy_variable_creation_sheet!B313</f>
        <v>45748</v>
      </c>
      <c r="C315" t="str">
        <f>dummy_variable_creation_sheet!C313</f>
        <v>South</v>
      </c>
      <c r="D315" t="str">
        <f>dummy_variable_creation_sheet!G313</f>
        <v>High Street</v>
      </c>
      <c r="E315">
        <f>dummy_variable_creation_sheet!S313</f>
        <v>771129.07</v>
      </c>
      <c r="F315">
        <f>multiple_regression_outputs!B344</f>
        <v>747692.76618478401</v>
      </c>
      <c r="G315">
        <f>multiple_regression_outputs!C344</f>
        <v>23436.303815215942</v>
      </c>
    </row>
    <row r="316" spans="1:7">
      <c r="A316" t="str">
        <f>dummy_variable_creation_sheet!A315</f>
        <v>STR-1079</v>
      </c>
      <c r="B316" s="14">
        <f>dummy_variable_creation_sheet!B315</f>
        <v>45689</v>
      </c>
      <c r="C316" t="str">
        <f>dummy_variable_creation_sheet!C315</f>
        <v>North</v>
      </c>
      <c r="D316" t="str">
        <f>dummy_variable_creation_sheet!G315</f>
        <v>Residential</v>
      </c>
      <c r="E316">
        <f>dummy_variable_creation_sheet!S315</f>
        <v>688368.46</v>
      </c>
      <c r="F316">
        <f>multiple_regression_outputs!B346</f>
        <v>716982.70725594088</v>
      </c>
      <c r="G316">
        <f>multiple_regression_outputs!C346</f>
        <v>-28614.247255940922</v>
      </c>
    </row>
    <row r="317" spans="1:7">
      <c r="A317" t="str">
        <f>dummy_variable_creation_sheet!A314</f>
        <v>STR-1079</v>
      </c>
      <c r="B317" s="14">
        <f>dummy_variable_creation_sheet!B314</f>
        <v>45658</v>
      </c>
      <c r="C317" t="str">
        <f>dummy_variable_creation_sheet!C314</f>
        <v>North</v>
      </c>
      <c r="D317" t="str">
        <f>dummy_variable_creation_sheet!G314</f>
        <v>Residential</v>
      </c>
      <c r="E317">
        <f>dummy_variable_creation_sheet!S314</f>
        <v>702052.47</v>
      </c>
      <c r="F317">
        <f>multiple_regression_outputs!B345</f>
        <v>675246.17402610648</v>
      </c>
      <c r="G317">
        <f>multiple_regression_outputs!C345</f>
        <v>26806.295973893488</v>
      </c>
    </row>
    <row r="318" spans="1:7">
      <c r="A318" t="str">
        <f>dummy_variable_creation_sheet!A316</f>
        <v>STR-1079</v>
      </c>
      <c r="B318" s="14">
        <f>dummy_variable_creation_sheet!B316</f>
        <v>45717</v>
      </c>
      <c r="C318" t="str">
        <f>dummy_variable_creation_sheet!C316</f>
        <v>North</v>
      </c>
      <c r="D318" t="str">
        <f>dummy_variable_creation_sheet!G316</f>
        <v>Residential</v>
      </c>
      <c r="E318">
        <f>dummy_variable_creation_sheet!S316</f>
        <v>712375.77</v>
      </c>
      <c r="F318">
        <f>multiple_regression_outputs!B347</f>
        <v>684531.50729288417</v>
      </c>
      <c r="G318">
        <f>multiple_regression_outputs!C347</f>
        <v>27844.262707115849</v>
      </c>
    </row>
    <row r="319" spans="1:7">
      <c r="A319" t="str">
        <f>dummy_variable_creation_sheet!A317</f>
        <v>STR-1079</v>
      </c>
      <c r="B319" s="14">
        <f>dummy_variable_creation_sheet!B317</f>
        <v>45748</v>
      </c>
      <c r="C319" t="str">
        <f>dummy_variable_creation_sheet!C317</f>
        <v>North</v>
      </c>
      <c r="D319" t="str">
        <f>dummy_variable_creation_sheet!G317</f>
        <v>Residential</v>
      </c>
      <c r="E319">
        <f>dummy_variable_creation_sheet!S317</f>
        <v>844710.67</v>
      </c>
      <c r="F319">
        <f>multiple_regression_outputs!B348</f>
        <v>811175.03464304109</v>
      </c>
      <c r="G319">
        <f>multiple_regression_outputs!C348</f>
        <v>33535.635356958956</v>
      </c>
    </row>
    <row r="320" spans="1:7">
      <c r="A320" t="str">
        <f>dummy_variable_creation_sheet!A318</f>
        <v>STR-1080</v>
      </c>
      <c r="B320" s="14">
        <f>dummy_variable_creation_sheet!B318</f>
        <v>45658</v>
      </c>
      <c r="C320" t="str">
        <f>dummy_variable_creation_sheet!C318</f>
        <v>East</v>
      </c>
      <c r="D320" t="str">
        <f>dummy_variable_creation_sheet!G318</f>
        <v>Residential</v>
      </c>
      <c r="E320">
        <f>dummy_variable_creation_sheet!S318</f>
        <v>620264.19999999995</v>
      </c>
      <c r="F320">
        <f>multiple_regression_outputs!B349</f>
        <v>668023.68819185346</v>
      </c>
      <c r="G320">
        <f>multiple_regression_outputs!C349</f>
        <v>-47759.48819185351</v>
      </c>
    </row>
    <row r="321" spans="1:7">
      <c r="A321" t="str">
        <f>dummy_variable_creation_sheet!A321</f>
        <v>STR-1080</v>
      </c>
      <c r="B321" s="14">
        <f>dummy_variable_creation_sheet!B321</f>
        <v>45748</v>
      </c>
      <c r="C321" t="str">
        <f>dummy_variable_creation_sheet!C321</f>
        <v>East</v>
      </c>
      <c r="D321" t="str">
        <f>dummy_variable_creation_sheet!G321</f>
        <v>Residential</v>
      </c>
      <c r="E321">
        <f>dummy_variable_creation_sheet!S321</f>
        <v>559660.84</v>
      </c>
      <c r="F321">
        <f>multiple_regression_outputs!B352</f>
        <v>589874.66850261705</v>
      </c>
      <c r="G321">
        <f>multiple_regression_outputs!C352</f>
        <v>-30213.828502617078</v>
      </c>
    </row>
    <row r="322" spans="1:7">
      <c r="A322" t="str">
        <f>dummy_variable_creation_sheet!A320</f>
        <v>STR-1080</v>
      </c>
      <c r="B322" s="14">
        <f>dummy_variable_creation_sheet!B320</f>
        <v>45717</v>
      </c>
      <c r="C322" t="str">
        <f>dummy_variable_creation_sheet!C320</f>
        <v>East</v>
      </c>
      <c r="D322" t="str">
        <f>dummy_variable_creation_sheet!G320</f>
        <v>Residential</v>
      </c>
      <c r="E322">
        <f>dummy_variable_creation_sheet!S320</f>
        <v>726776.22</v>
      </c>
      <c r="F322">
        <f>multiple_regression_outputs!B351</f>
        <v>720569.32689402835</v>
      </c>
      <c r="G322">
        <f>multiple_regression_outputs!C351</f>
        <v>6206.8931059716269</v>
      </c>
    </row>
    <row r="323" spans="1:7">
      <c r="A323" t="str">
        <f>dummy_variable_creation_sheet!A319</f>
        <v>STR-1080</v>
      </c>
      <c r="B323" s="14">
        <f>dummy_variable_creation_sheet!B319</f>
        <v>45689</v>
      </c>
      <c r="C323" t="str">
        <f>dummy_variable_creation_sheet!C319</f>
        <v>East</v>
      </c>
      <c r="D323" t="str">
        <f>dummy_variable_creation_sheet!G319</f>
        <v>Residential</v>
      </c>
      <c r="E323">
        <f>dummy_variable_creation_sheet!S319</f>
        <v>536845.42000000004</v>
      </c>
      <c r="F323">
        <f>multiple_regression_outputs!B350</f>
        <v>529198.31267985119</v>
      </c>
      <c r="G323">
        <f>multiple_regression_outputs!C350</f>
        <v>7647.1073201488471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original_datasheet</vt:lpstr>
      <vt:lpstr>cleaned_datasheet</vt:lpstr>
      <vt:lpstr>dummy_variable_creation_sheet</vt:lpstr>
      <vt:lpstr>simple_regression_outputs</vt:lpstr>
      <vt:lpstr>multiple_regression_outputs</vt:lpstr>
      <vt:lpstr>prediction_residual_calculation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Mitali Kalburgi</cp:lastModifiedBy>
  <dcterms:modified xsi:type="dcterms:W3CDTF">2026-06-20T21:19:58Z</dcterms:modified>
</cp:coreProperties>
</file>